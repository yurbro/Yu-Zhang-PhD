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urreyac-my.sharepoint.com/personal/yz02380_surrey_ac_uk/Documents/Science Research/Codes/Symbolic Differential/SymODE/optimisation/opt_exp/"/>
    </mc:Choice>
  </mc:AlternateContent>
  <xr:revisionPtr revIDLastSave="3056" documentId="11_F25DC773A252ABDACC1048C2A1DB7CBE5BDE5908" xr6:coauthVersionLast="47" xr6:coauthVersionMax="47" xr10:uidLastSave="{8938BD2B-9CA0-4C8F-90E1-56A902590994}"/>
  <bookViews>
    <workbookView xWindow="28680" yWindow="-1995" windowWidth="29040" windowHeight="17640" xr2:uid="{00000000-000D-0000-FFFF-FFFF00000000}"/>
  </bookViews>
  <sheets>
    <sheet name="OPT" sheetId="26" r:id="rId1"/>
    <sheet name="Opt-6H" sheetId="27" r:id="rId2"/>
    <sheet name="Opt-FULLTIME" sheetId="1" r:id="rId3"/>
    <sheet name="Opt-1" sheetId="13" r:id="rId4"/>
    <sheet name="Opt-2" sheetId="15" r:id="rId5"/>
    <sheet name="Opt-3" sheetId="16" r:id="rId6"/>
    <sheet name="Opt-4" sheetId="17" r:id="rId7"/>
    <sheet name="Opt-5" sheetId="1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7" l="1"/>
  <c r="D36" i="17"/>
  <c r="R35" i="17"/>
  <c r="Q35" i="17"/>
  <c r="F35" i="17"/>
  <c r="D35" i="17"/>
  <c r="R34" i="17"/>
  <c r="Q34" i="17"/>
  <c r="F34" i="17"/>
  <c r="D34" i="17"/>
  <c r="R33" i="17"/>
  <c r="Q33" i="17"/>
  <c r="F33" i="17"/>
  <c r="D33" i="17"/>
  <c r="R32" i="17"/>
  <c r="Q32" i="17"/>
  <c r="R31" i="17"/>
  <c r="Q31" i="17"/>
  <c r="F31" i="17"/>
  <c r="D31" i="17"/>
  <c r="R30" i="17"/>
  <c r="Q30" i="17"/>
  <c r="F30" i="17"/>
  <c r="D30" i="17"/>
  <c r="E30" i="17" s="1"/>
  <c r="R29" i="17"/>
  <c r="Q29" i="17"/>
  <c r="F29" i="17"/>
  <c r="D29" i="17"/>
  <c r="F28" i="17"/>
  <c r="D28" i="17"/>
  <c r="F26" i="17"/>
  <c r="D26" i="17"/>
  <c r="F25" i="17"/>
  <c r="D25" i="17"/>
  <c r="F24" i="17"/>
  <c r="D24" i="17"/>
  <c r="E24" i="17" s="1"/>
  <c r="F23" i="17"/>
  <c r="D23" i="17"/>
  <c r="F21" i="17"/>
  <c r="D21" i="17"/>
  <c r="F20" i="17"/>
  <c r="D20" i="17"/>
  <c r="E25" i="17" s="1"/>
  <c r="F19" i="17"/>
  <c r="D19" i="17"/>
  <c r="F18" i="17"/>
  <c r="D18" i="17"/>
  <c r="F16" i="17"/>
  <c r="D16" i="17"/>
  <c r="E16" i="17" s="1"/>
  <c r="F15" i="17"/>
  <c r="D15" i="17"/>
  <c r="F14" i="17"/>
  <c r="D14" i="17"/>
  <c r="F13" i="17"/>
  <c r="D13" i="17"/>
  <c r="Q11" i="17"/>
  <c r="P11" i="17"/>
  <c r="O11" i="17"/>
  <c r="N11" i="17"/>
  <c r="M11" i="17"/>
  <c r="L11" i="17"/>
  <c r="K11" i="17"/>
  <c r="F11" i="17"/>
  <c r="D11" i="17"/>
  <c r="Q10" i="17"/>
  <c r="P10" i="17"/>
  <c r="O10" i="17"/>
  <c r="N10" i="17"/>
  <c r="M10" i="17"/>
  <c r="L10" i="17"/>
  <c r="K10" i="17"/>
  <c r="F10" i="17"/>
  <c r="D10" i="17"/>
  <c r="E10" i="17" s="1"/>
  <c r="F9" i="17"/>
  <c r="D9" i="17"/>
  <c r="F8" i="17"/>
  <c r="D8" i="17"/>
  <c r="F6" i="17"/>
  <c r="G6" i="17" s="1"/>
  <c r="H6" i="17" s="1"/>
  <c r="D6" i="17"/>
  <c r="E6" i="17" s="1"/>
  <c r="F5" i="17"/>
  <c r="G5" i="17" s="1"/>
  <c r="H5" i="17" s="1"/>
  <c r="D5" i="17"/>
  <c r="E5" i="17" s="1"/>
  <c r="F4" i="17"/>
  <c r="G4" i="17" s="1"/>
  <c r="H4" i="17" s="1"/>
  <c r="D4" i="17"/>
  <c r="E4" i="17" s="1"/>
  <c r="F3" i="17"/>
  <c r="G3" i="17" s="1"/>
  <c r="H3" i="17" s="1"/>
  <c r="D3" i="17"/>
  <c r="E3" i="17" s="1"/>
  <c r="P11" i="18"/>
  <c r="P10" i="18"/>
  <c r="H3" i="18"/>
  <c r="R35" i="18"/>
  <c r="K11" i="18"/>
  <c r="F36" i="18"/>
  <c r="D36" i="18"/>
  <c r="Q35" i="18"/>
  <c r="F35" i="18"/>
  <c r="D35" i="18"/>
  <c r="R34" i="18"/>
  <c r="Q34" i="18"/>
  <c r="F34" i="18"/>
  <c r="D34" i="18"/>
  <c r="R33" i="18"/>
  <c r="Q33" i="18"/>
  <c r="F33" i="18"/>
  <c r="D33" i="18"/>
  <c r="R32" i="18"/>
  <c r="Q32" i="18"/>
  <c r="R31" i="18"/>
  <c r="Q31" i="18"/>
  <c r="F31" i="18"/>
  <c r="D31" i="18"/>
  <c r="R30" i="18"/>
  <c r="Q30" i="18"/>
  <c r="F30" i="18"/>
  <c r="D30" i="18"/>
  <c r="R29" i="18"/>
  <c r="Q29" i="18"/>
  <c r="F29" i="18"/>
  <c r="D29" i="18"/>
  <c r="F28" i="18"/>
  <c r="D28" i="18"/>
  <c r="F26" i="18"/>
  <c r="D26" i="18"/>
  <c r="F25" i="18"/>
  <c r="D25" i="18"/>
  <c r="F24" i="18"/>
  <c r="D24" i="18"/>
  <c r="F23" i="18"/>
  <c r="D23" i="18"/>
  <c r="F21" i="18"/>
  <c r="D21" i="18"/>
  <c r="F20" i="18"/>
  <c r="D20" i="18"/>
  <c r="F19" i="18"/>
  <c r="D19" i="18"/>
  <c r="F18" i="18"/>
  <c r="D18" i="18"/>
  <c r="F16" i="18"/>
  <c r="D16" i="18"/>
  <c r="F15" i="18"/>
  <c r="D15" i="18"/>
  <c r="E15" i="18" s="1"/>
  <c r="F14" i="18"/>
  <c r="D14" i="18"/>
  <c r="F13" i="18"/>
  <c r="D13" i="18"/>
  <c r="Q11" i="18"/>
  <c r="O11" i="18"/>
  <c r="N11" i="18"/>
  <c r="M11" i="18"/>
  <c r="L11" i="18"/>
  <c r="F11" i="18"/>
  <c r="D11" i="18"/>
  <c r="Q10" i="18"/>
  <c r="O10" i="18"/>
  <c r="N10" i="18"/>
  <c r="M10" i="18"/>
  <c r="L10" i="18"/>
  <c r="F10" i="18"/>
  <c r="D10" i="18"/>
  <c r="F9" i="18"/>
  <c r="D9" i="18"/>
  <c r="F8" i="18"/>
  <c r="D8" i="18"/>
  <c r="F6" i="18"/>
  <c r="G6" i="18" s="1"/>
  <c r="H6" i="18" s="1"/>
  <c r="D6" i="18"/>
  <c r="F5" i="18"/>
  <c r="G5" i="18" s="1"/>
  <c r="H5" i="18" s="1"/>
  <c r="D5" i="18"/>
  <c r="E5" i="18" s="1"/>
  <c r="F4" i="18"/>
  <c r="G4" i="18" s="1"/>
  <c r="H4" i="18" s="1"/>
  <c r="D4" i="18"/>
  <c r="E4" i="18" s="1"/>
  <c r="F3" i="18"/>
  <c r="G3" i="18" s="1"/>
  <c r="D3" i="18"/>
  <c r="E3" i="18" s="1"/>
  <c r="R35" i="16"/>
  <c r="Q35" i="16"/>
  <c r="F36" i="16"/>
  <c r="D36" i="16"/>
  <c r="F35" i="16"/>
  <c r="D35" i="16"/>
  <c r="R34" i="16"/>
  <c r="Q34" i="16"/>
  <c r="F34" i="16"/>
  <c r="D34" i="16"/>
  <c r="R33" i="16"/>
  <c r="Q33" i="16"/>
  <c r="F33" i="16"/>
  <c r="D33" i="16"/>
  <c r="R32" i="16"/>
  <c r="Q32" i="16"/>
  <c r="R31" i="16"/>
  <c r="Q31" i="16"/>
  <c r="F31" i="16"/>
  <c r="D31" i="16"/>
  <c r="R30" i="16"/>
  <c r="Q30" i="16"/>
  <c r="F30" i="16"/>
  <c r="D30" i="16"/>
  <c r="R29" i="16"/>
  <c r="Q29" i="16"/>
  <c r="F29" i="16"/>
  <c r="D29" i="16"/>
  <c r="F28" i="16"/>
  <c r="D28" i="16"/>
  <c r="F26" i="16"/>
  <c r="D26" i="16"/>
  <c r="E26" i="16" s="1"/>
  <c r="G31" i="16" s="1"/>
  <c r="H31" i="16" s="1"/>
  <c r="F25" i="16"/>
  <c r="D25" i="16"/>
  <c r="F24" i="16"/>
  <c r="D24" i="16"/>
  <c r="E29" i="16" s="1"/>
  <c r="F23" i="16"/>
  <c r="D23" i="16"/>
  <c r="F21" i="16"/>
  <c r="D21" i="16"/>
  <c r="F20" i="16"/>
  <c r="D20" i="16"/>
  <c r="F19" i="16"/>
  <c r="D19" i="16"/>
  <c r="E19" i="16" s="1"/>
  <c r="F18" i="16"/>
  <c r="D18" i="16"/>
  <c r="F16" i="16"/>
  <c r="D16" i="16"/>
  <c r="F15" i="16"/>
  <c r="D15" i="16"/>
  <c r="F14" i="16"/>
  <c r="D14" i="16"/>
  <c r="E14" i="16" s="1"/>
  <c r="F13" i="16"/>
  <c r="D13" i="16"/>
  <c r="E13" i="16" s="1"/>
  <c r="Q11" i="16"/>
  <c r="P11" i="16"/>
  <c r="O11" i="16"/>
  <c r="N11" i="16"/>
  <c r="M11" i="16"/>
  <c r="L11" i="16"/>
  <c r="K11" i="16"/>
  <c r="F11" i="16"/>
  <c r="D11" i="16"/>
  <c r="E11" i="16" s="1"/>
  <c r="G16" i="16" s="1"/>
  <c r="H16" i="16" s="1"/>
  <c r="Q10" i="16"/>
  <c r="P10" i="16"/>
  <c r="O10" i="16"/>
  <c r="N10" i="16"/>
  <c r="M10" i="16"/>
  <c r="L10" i="16"/>
  <c r="K10" i="16"/>
  <c r="F10" i="16"/>
  <c r="D10" i="16"/>
  <c r="E10" i="16" s="1"/>
  <c r="F9" i="16"/>
  <c r="D9" i="16"/>
  <c r="E9" i="16" s="1"/>
  <c r="F8" i="16"/>
  <c r="G8" i="16" s="1"/>
  <c r="H8" i="16" s="1"/>
  <c r="D8" i="16"/>
  <c r="E8" i="16" s="1"/>
  <c r="F6" i="16"/>
  <c r="G6" i="16" s="1"/>
  <c r="H6" i="16" s="1"/>
  <c r="E6" i="16"/>
  <c r="G11" i="16" s="1"/>
  <c r="H11" i="16" s="1"/>
  <c r="D6" i="16"/>
  <c r="F5" i="16"/>
  <c r="G5" i="16" s="1"/>
  <c r="H5" i="16" s="1"/>
  <c r="D5" i="16"/>
  <c r="E5" i="16" s="1"/>
  <c r="F4" i="16"/>
  <c r="G4" i="16" s="1"/>
  <c r="H4" i="16" s="1"/>
  <c r="D4" i="16"/>
  <c r="E4" i="16" s="1"/>
  <c r="F3" i="16"/>
  <c r="G3" i="16" s="1"/>
  <c r="H3" i="16" s="1"/>
  <c r="D3" i="16"/>
  <c r="E3" i="16" s="1"/>
  <c r="K10" i="15"/>
  <c r="L10" i="15"/>
  <c r="M10" i="15"/>
  <c r="N10" i="15"/>
  <c r="O10" i="15"/>
  <c r="P10" i="15"/>
  <c r="Q10" i="15"/>
  <c r="R29" i="15"/>
  <c r="R30" i="15"/>
  <c r="R31" i="15"/>
  <c r="R32" i="15"/>
  <c r="R33" i="15"/>
  <c r="R34" i="15"/>
  <c r="Q29" i="15"/>
  <c r="Q30" i="15"/>
  <c r="Q31" i="15"/>
  <c r="Q32" i="15"/>
  <c r="Q33" i="15"/>
  <c r="Q34" i="15"/>
  <c r="R35" i="15"/>
  <c r="Q35" i="15"/>
  <c r="R35" i="13"/>
  <c r="Q7" i="15"/>
  <c r="Q9" i="15"/>
  <c r="Q6" i="15"/>
  <c r="P7" i="15"/>
  <c r="P9" i="15"/>
  <c r="P6" i="15"/>
  <c r="O7" i="15"/>
  <c r="O9" i="15"/>
  <c r="O6" i="15"/>
  <c r="N7" i="15"/>
  <c r="N8" i="15"/>
  <c r="N9" i="15"/>
  <c r="N6" i="15"/>
  <c r="M7" i="15"/>
  <c r="M8" i="15"/>
  <c r="M9" i="15"/>
  <c r="M6" i="15"/>
  <c r="L7" i="15"/>
  <c r="L11" i="15" s="1"/>
  <c r="L8" i="15"/>
  <c r="L9" i="15"/>
  <c r="L6" i="15"/>
  <c r="K7" i="15"/>
  <c r="K8" i="15"/>
  <c r="K9" i="15"/>
  <c r="K6" i="15"/>
  <c r="K11" i="15"/>
  <c r="F36" i="15"/>
  <c r="D36" i="15"/>
  <c r="E36" i="15" s="1"/>
  <c r="F35" i="15"/>
  <c r="D35" i="15"/>
  <c r="F34" i="15"/>
  <c r="D34" i="15"/>
  <c r="E34" i="15" s="1"/>
  <c r="F33" i="15"/>
  <c r="D33" i="15"/>
  <c r="F31" i="15"/>
  <c r="D31" i="15"/>
  <c r="F30" i="15"/>
  <c r="D30" i="15"/>
  <c r="E30" i="15" s="1"/>
  <c r="F29" i="15"/>
  <c r="D29" i="15"/>
  <c r="F28" i="15"/>
  <c r="D28" i="15"/>
  <c r="F26" i="15"/>
  <c r="D26" i="15"/>
  <c r="F25" i="15"/>
  <c r="D25" i="15"/>
  <c r="F24" i="15"/>
  <c r="D24" i="15"/>
  <c r="F23" i="15"/>
  <c r="D23" i="15"/>
  <c r="F21" i="15"/>
  <c r="D21" i="15"/>
  <c r="F20" i="15"/>
  <c r="D20" i="15"/>
  <c r="F19" i="15"/>
  <c r="D19" i="15"/>
  <c r="E19" i="15" s="1"/>
  <c r="F18" i="15"/>
  <c r="D18" i="15"/>
  <c r="F16" i="15"/>
  <c r="D16" i="15"/>
  <c r="F15" i="15"/>
  <c r="D15" i="15"/>
  <c r="F14" i="15"/>
  <c r="G14" i="15" s="1"/>
  <c r="H14" i="15" s="1"/>
  <c r="D14" i="15"/>
  <c r="E14" i="15" s="1"/>
  <c r="F13" i="15"/>
  <c r="D13" i="15"/>
  <c r="F11" i="15"/>
  <c r="D11" i="15"/>
  <c r="E11" i="15" s="1"/>
  <c r="F10" i="15"/>
  <c r="D10" i="15"/>
  <c r="F9" i="15"/>
  <c r="D9" i="15"/>
  <c r="E9" i="15" s="1"/>
  <c r="F8" i="15"/>
  <c r="D8" i="15"/>
  <c r="G6" i="15"/>
  <c r="H6" i="15" s="1"/>
  <c r="F6" i="15"/>
  <c r="D6" i="15"/>
  <c r="E6" i="15" s="1"/>
  <c r="F5" i="15"/>
  <c r="G5" i="15" s="1"/>
  <c r="H5" i="15" s="1"/>
  <c r="D5" i="15"/>
  <c r="E5" i="15" s="1"/>
  <c r="F4" i="15"/>
  <c r="G4" i="15" s="1"/>
  <c r="H4" i="15" s="1"/>
  <c r="D4" i="15"/>
  <c r="E4" i="15" s="1"/>
  <c r="G9" i="15" s="1"/>
  <c r="H9" i="15" s="1"/>
  <c r="F3" i="15"/>
  <c r="G3" i="15" s="1"/>
  <c r="H3" i="15" s="1"/>
  <c r="D3" i="15"/>
  <c r="E3" i="15" s="1"/>
  <c r="E19" i="17" l="1"/>
  <c r="E36" i="17"/>
  <c r="E34" i="17"/>
  <c r="E35" i="17"/>
  <c r="G30" i="17"/>
  <c r="H30" i="17" s="1"/>
  <c r="G24" i="17"/>
  <c r="H24" i="17" s="1"/>
  <c r="E26" i="17"/>
  <c r="G31" i="17" s="1"/>
  <c r="H31" i="17" s="1"/>
  <c r="G10" i="17"/>
  <c r="H10" i="17" s="1"/>
  <c r="G11" i="17"/>
  <c r="H11" i="17" s="1"/>
  <c r="E14" i="17"/>
  <c r="G19" i="17" s="1"/>
  <c r="H19" i="17" s="1"/>
  <c r="E15" i="17"/>
  <c r="G20" i="17" s="1"/>
  <c r="H20" i="17" s="1"/>
  <c r="E11" i="17"/>
  <c r="G16" i="17" s="1"/>
  <c r="H16" i="17" s="1"/>
  <c r="E9" i="17"/>
  <c r="G14" i="17" s="1"/>
  <c r="H14" i="17" s="1"/>
  <c r="G9" i="17"/>
  <c r="H9" i="17" s="1"/>
  <c r="G15" i="17"/>
  <c r="H15" i="17" s="1"/>
  <c r="G26" i="17"/>
  <c r="H26" i="17" s="1"/>
  <c r="G35" i="17"/>
  <c r="H35" i="17" s="1"/>
  <c r="E8" i="17"/>
  <c r="G13" i="17" s="1"/>
  <c r="H13" i="17" s="1"/>
  <c r="G8" i="17"/>
  <c r="H8" i="17" s="1"/>
  <c r="G21" i="17"/>
  <c r="H21" i="17" s="1"/>
  <c r="G29" i="17"/>
  <c r="H29" i="17" s="1"/>
  <c r="E29" i="17"/>
  <c r="G34" i="17" s="1"/>
  <c r="H34" i="17" s="1"/>
  <c r="E21" i="17"/>
  <c r="E20" i="17"/>
  <c r="G25" i="17" s="1"/>
  <c r="H25" i="17" s="1"/>
  <c r="E31" i="17"/>
  <c r="G36" i="17" s="1"/>
  <c r="H36" i="17" s="1"/>
  <c r="E34" i="18"/>
  <c r="E30" i="18"/>
  <c r="G35" i="18" s="1"/>
  <c r="H35" i="18" s="1"/>
  <c r="E19" i="18"/>
  <c r="E24" i="18"/>
  <c r="E10" i="18"/>
  <c r="G15" i="18" s="1"/>
  <c r="H15" i="18" s="1"/>
  <c r="G9" i="18"/>
  <c r="H9" i="18" s="1"/>
  <c r="K10" i="18"/>
  <c r="E36" i="18"/>
  <c r="E35" i="18"/>
  <c r="E25" i="18"/>
  <c r="G30" i="18" s="1"/>
  <c r="H30" i="18" s="1"/>
  <c r="G20" i="18"/>
  <c r="H20" i="18" s="1"/>
  <c r="E26" i="18"/>
  <c r="G31" i="18" s="1"/>
  <c r="H31" i="18" s="1"/>
  <c r="G24" i="18"/>
  <c r="H24" i="18" s="1"/>
  <c r="E20" i="18"/>
  <c r="G25" i="18" s="1"/>
  <c r="H25" i="18" s="1"/>
  <c r="E21" i="18"/>
  <c r="G26" i="18" s="1"/>
  <c r="H26" i="18" s="1"/>
  <c r="E16" i="18"/>
  <c r="G21" i="18" s="1"/>
  <c r="H21" i="18" s="1"/>
  <c r="G8" i="18"/>
  <c r="H8" i="18" s="1"/>
  <c r="E11" i="18"/>
  <c r="G16" i="18" s="1"/>
  <c r="H16" i="18" s="1"/>
  <c r="G10" i="18"/>
  <c r="H10" i="18" s="1"/>
  <c r="E8" i="18"/>
  <c r="E13" i="18" s="1"/>
  <c r="E18" i="18" s="1"/>
  <c r="G11" i="18"/>
  <c r="H11" i="18" s="1"/>
  <c r="G29" i="18"/>
  <c r="H29" i="18" s="1"/>
  <c r="E29" i="18"/>
  <c r="G34" i="18" s="1"/>
  <c r="H34" i="18" s="1"/>
  <c r="E14" i="18"/>
  <c r="G19" i="18" s="1"/>
  <c r="H19" i="18" s="1"/>
  <c r="E9" i="18"/>
  <c r="G14" i="18" s="1"/>
  <c r="H14" i="18" s="1"/>
  <c r="E31" i="18"/>
  <c r="G36" i="18" s="1"/>
  <c r="H36" i="18" s="1"/>
  <c r="E6" i="18"/>
  <c r="E34" i="16"/>
  <c r="E35" i="16"/>
  <c r="E36" i="16"/>
  <c r="E31" i="16"/>
  <c r="G36" i="16" s="1"/>
  <c r="H36" i="16" s="1"/>
  <c r="G34" i="16"/>
  <c r="H34" i="16" s="1"/>
  <c r="E30" i="16"/>
  <c r="E24" i="16"/>
  <c r="E25" i="16"/>
  <c r="G30" i="16" s="1"/>
  <c r="H30" i="16" s="1"/>
  <c r="E20" i="16"/>
  <c r="G25" i="16" s="1"/>
  <c r="H25" i="16" s="1"/>
  <c r="E21" i="16"/>
  <c r="G26" i="16" s="1"/>
  <c r="H26" i="16" s="1"/>
  <c r="G24" i="16"/>
  <c r="H24" i="16" s="1"/>
  <c r="G19" i="16"/>
  <c r="H19" i="16" s="1"/>
  <c r="E16" i="16"/>
  <c r="G10" i="16"/>
  <c r="H10" i="16" s="1"/>
  <c r="G18" i="16"/>
  <c r="H18" i="16" s="1"/>
  <c r="E18" i="16"/>
  <c r="G23" i="16" s="1"/>
  <c r="H23" i="16" s="1"/>
  <c r="G13" i="16"/>
  <c r="H13" i="16" s="1"/>
  <c r="G35" i="16"/>
  <c r="H35" i="16" s="1"/>
  <c r="G14" i="16"/>
  <c r="H14" i="16" s="1"/>
  <c r="G21" i="16"/>
  <c r="H21" i="16" s="1"/>
  <c r="G15" i="16"/>
  <c r="H15" i="16" s="1"/>
  <c r="G9" i="16"/>
  <c r="H9" i="16" s="1"/>
  <c r="G29" i="16"/>
  <c r="H29" i="16" s="1"/>
  <c r="E15" i="16"/>
  <c r="G20" i="16" s="1"/>
  <c r="H20" i="16" s="1"/>
  <c r="N11" i="15"/>
  <c r="M11" i="15"/>
  <c r="E35" i="15"/>
  <c r="G24" i="15"/>
  <c r="H24" i="15" s="1"/>
  <c r="E31" i="15"/>
  <c r="G36" i="15" s="1"/>
  <c r="H36" i="15" s="1"/>
  <c r="E29" i="15"/>
  <c r="G34" i="15" s="1"/>
  <c r="H34" i="15" s="1"/>
  <c r="G35" i="15"/>
  <c r="H35" i="15" s="1"/>
  <c r="Q8" i="15" s="1"/>
  <c r="E26" i="15"/>
  <c r="G31" i="15" s="1"/>
  <c r="H31" i="15" s="1"/>
  <c r="E25" i="15"/>
  <c r="G30" i="15" s="1"/>
  <c r="H30" i="15" s="1"/>
  <c r="P8" i="15" s="1"/>
  <c r="G19" i="15"/>
  <c r="H19" i="15" s="1"/>
  <c r="E21" i="15"/>
  <c r="G26" i="15" s="1"/>
  <c r="H26" i="15" s="1"/>
  <c r="E20" i="15"/>
  <c r="G25" i="15" s="1"/>
  <c r="H25" i="15" s="1"/>
  <c r="O8" i="15" s="1"/>
  <c r="E15" i="15"/>
  <c r="G11" i="15"/>
  <c r="H11" i="15" s="1"/>
  <c r="E10" i="15"/>
  <c r="G15" i="15" s="1"/>
  <c r="H15" i="15" s="1"/>
  <c r="G8" i="15"/>
  <c r="H8" i="15" s="1"/>
  <c r="G20" i="15"/>
  <c r="H20" i="15" s="1"/>
  <c r="E8" i="15"/>
  <c r="E13" i="15" s="1"/>
  <c r="G21" i="15"/>
  <c r="H21" i="15" s="1"/>
  <c r="G10" i="15"/>
  <c r="H10" i="15" s="1"/>
  <c r="G16" i="15"/>
  <c r="H16" i="15" s="1"/>
  <c r="E24" i="15"/>
  <c r="G29" i="15" s="1"/>
  <c r="H29" i="15" s="1"/>
  <c r="E16" i="15"/>
  <c r="E13" i="17" l="1"/>
  <c r="E23" i="18"/>
  <c r="E28" i="18" s="1"/>
  <c r="G33" i="18" s="1"/>
  <c r="H33" i="18" s="1"/>
  <c r="G23" i="18"/>
  <c r="H23" i="18" s="1"/>
  <c r="G13" i="18"/>
  <c r="H13" i="18" s="1"/>
  <c r="G18" i="18"/>
  <c r="H18" i="18" s="1"/>
  <c r="E23" i="16"/>
  <c r="E28" i="16" s="1"/>
  <c r="E33" i="16" s="1"/>
  <c r="G33" i="16"/>
  <c r="H33" i="16" s="1"/>
  <c r="Q11" i="15"/>
  <c r="O11" i="15"/>
  <c r="P11" i="15"/>
  <c r="E18" i="15"/>
  <c r="G18" i="15"/>
  <c r="H18" i="15" s="1"/>
  <c r="G13" i="15"/>
  <c r="H13" i="15" s="1"/>
  <c r="E18" i="17" l="1"/>
  <c r="G18" i="17"/>
  <c r="H18" i="17" s="1"/>
  <c r="E33" i="18"/>
  <c r="G28" i="18"/>
  <c r="H28" i="18" s="1"/>
  <c r="G28" i="16"/>
  <c r="H28" i="16" s="1"/>
  <c r="G23" i="15"/>
  <c r="H23" i="15" s="1"/>
  <c r="E23" i="15"/>
  <c r="E23" i="17" l="1"/>
  <c r="G23" i="17"/>
  <c r="H23" i="17" s="1"/>
  <c r="E28" i="15"/>
  <c r="G28" i="15"/>
  <c r="H28" i="15" s="1"/>
  <c r="G28" i="17" l="1"/>
  <c r="H28" i="17" s="1"/>
  <c r="E28" i="17"/>
  <c r="G33" i="15"/>
  <c r="H33" i="15" s="1"/>
  <c r="E33" i="15"/>
  <c r="E33" i="17" l="1"/>
  <c r="G33" i="17"/>
  <c r="H33" i="17" s="1"/>
  <c r="K10" i="13"/>
  <c r="L10" i="13"/>
  <c r="M10" i="13"/>
  <c r="N10" i="13"/>
  <c r="O10" i="13"/>
  <c r="P10" i="13"/>
  <c r="K11" i="13"/>
  <c r="L11" i="13"/>
  <c r="M11" i="13"/>
  <c r="N11" i="13"/>
  <c r="O11" i="13"/>
  <c r="P11" i="13"/>
  <c r="Q11" i="13"/>
  <c r="R29" i="13"/>
  <c r="R30" i="13"/>
  <c r="R31" i="13"/>
  <c r="R32" i="13"/>
  <c r="R33" i="13"/>
  <c r="R34" i="13"/>
  <c r="Q29" i="13"/>
  <c r="Q30" i="13"/>
  <c r="Q31" i="13"/>
  <c r="Q32" i="13"/>
  <c r="Q33" i="13"/>
  <c r="Q34" i="13"/>
  <c r="Q35" i="13"/>
  <c r="Q10" i="13"/>
  <c r="K2" i="1"/>
  <c r="L2" i="1" l="1"/>
  <c r="M2" i="1"/>
  <c r="N2" i="1"/>
  <c r="O2" i="1"/>
  <c r="P2" i="1"/>
  <c r="Q2" i="1"/>
  <c r="L6" i="1"/>
  <c r="M6" i="1"/>
  <c r="N6" i="1"/>
  <c r="O6" i="1"/>
  <c r="P6" i="1"/>
  <c r="Q6" i="1"/>
  <c r="L10" i="1"/>
  <c r="M10" i="1"/>
  <c r="N10" i="1"/>
  <c r="O10" i="1"/>
  <c r="P10" i="1"/>
  <c r="Q10" i="1"/>
  <c r="L14" i="1"/>
  <c r="M14" i="1"/>
  <c r="N14" i="1"/>
  <c r="O14" i="1"/>
  <c r="P14" i="1"/>
  <c r="Q14" i="1"/>
  <c r="L18" i="1"/>
  <c r="M18" i="1"/>
  <c r="N18" i="1"/>
  <c r="O18" i="1"/>
  <c r="P18" i="1"/>
  <c r="Q18" i="1"/>
  <c r="K14" i="1"/>
  <c r="K18" i="1"/>
  <c r="K10" i="1"/>
  <c r="K6" i="1"/>
  <c r="F13" i="13" l="1"/>
  <c r="F14" i="13"/>
  <c r="F15" i="13"/>
  <c r="F16" i="13"/>
  <c r="F18" i="13"/>
  <c r="F19" i="13"/>
  <c r="F20" i="13"/>
  <c r="F21" i="13"/>
  <c r="F23" i="13"/>
  <c r="F24" i="13"/>
  <c r="F25" i="13"/>
  <c r="F26" i="13"/>
  <c r="F28" i="13"/>
  <c r="F29" i="13"/>
  <c r="F30" i="13"/>
  <c r="F31" i="13"/>
  <c r="F33" i="13"/>
  <c r="F34" i="13"/>
  <c r="F35" i="13"/>
  <c r="F36" i="13"/>
  <c r="F8" i="13"/>
  <c r="F9" i="13"/>
  <c r="F10" i="13"/>
  <c r="F11" i="13"/>
  <c r="F6" i="13"/>
  <c r="F5" i="13"/>
  <c r="F3" i="13"/>
  <c r="D36" i="13" l="1"/>
  <c r="D35" i="13"/>
  <c r="D34" i="13"/>
  <c r="D33" i="13"/>
  <c r="D31" i="13"/>
  <c r="D30" i="13"/>
  <c r="D29" i="13"/>
  <c r="D28" i="13"/>
  <c r="D26" i="13"/>
  <c r="D25" i="13"/>
  <c r="D24" i="13"/>
  <c r="D23" i="13"/>
  <c r="D21" i="13"/>
  <c r="D20" i="13"/>
  <c r="D19" i="13"/>
  <c r="D18" i="13"/>
  <c r="D16" i="13"/>
  <c r="D15" i="13"/>
  <c r="D14" i="13"/>
  <c r="D13" i="13"/>
  <c r="D11" i="13"/>
  <c r="D10" i="13"/>
  <c r="D9" i="13"/>
  <c r="D8" i="13"/>
  <c r="G6" i="13"/>
  <c r="H6" i="13" s="1"/>
  <c r="D6" i="13"/>
  <c r="E6" i="13" s="1"/>
  <c r="G5" i="13"/>
  <c r="H5" i="13" s="1"/>
  <c r="D5" i="13"/>
  <c r="E5" i="13" s="1"/>
  <c r="F4" i="13"/>
  <c r="G4" i="13" s="1"/>
  <c r="H4" i="13" s="1"/>
  <c r="D4" i="13"/>
  <c r="E4" i="13" s="1"/>
  <c r="G3" i="13"/>
  <c r="H3" i="13" s="1"/>
  <c r="D3" i="13"/>
  <c r="E3" i="13" s="1"/>
  <c r="E19" i="13" l="1"/>
  <c r="G24" i="13" s="1"/>
  <c r="H24" i="13" s="1"/>
  <c r="E16" i="13"/>
  <c r="G21" i="13" s="1"/>
  <c r="H21" i="13" s="1"/>
  <c r="E30" i="13"/>
  <c r="G35" i="13" s="1"/>
  <c r="H35" i="13" s="1"/>
  <c r="E34" i="13"/>
  <c r="E31" i="13"/>
  <c r="G36" i="13" s="1"/>
  <c r="H36" i="13" s="1"/>
  <c r="E26" i="13"/>
  <c r="G31" i="13" s="1"/>
  <c r="H31" i="13" s="1"/>
  <c r="E8" i="13"/>
  <c r="G13" i="13" s="1"/>
  <c r="H13" i="13" s="1"/>
  <c r="E11" i="13"/>
  <c r="G16" i="13" s="1"/>
  <c r="H16" i="13" s="1"/>
  <c r="E35" i="13"/>
  <c r="E29" i="13"/>
  <c r="G34" i="13" s="1"/>
  <c r="H34" i="13" s="1"/>
  <c r="E36" i="13"/>
  <c r="E20" i="13"/>
  <c r="G25" i="13" s="1"/>
  <c r="H25" i="13" s="1"/>
  <c r="E25" i="13"/>
  <c r="G30" i="13" s="1"/>
  <c r="H30" i="13" s="1"/>
  <c r="E15" i="13"/>
  <c r="G20" i="13" s="1"/>
  <c r="H20" i="13" s="1"/>
  <c r="G9" i="13"/>
  <c r="H9" i="13" s="1"/>
  <c r="G10" i="13"/>
  <c r="H10" i="13" s="1"/>
  <c r="G8" i="13"/>
  <c r="H8" i="13" s="1"/>
  <c r="E9" i="13"/>
  <c r="G14" i="13" s="1"/>
  <c r="H14" i="13" s="1"/>
  <c r="G11" i="13"/>
  <c r="H11" i="13" s="1"/>
  <c r="E21" i="13"/>
  <c r="G26" i="13" s="1"/>
  <c r="H26" i="13" s="1"/>
  <c r="E14" i="13"/>
  <c r="G19" i="13" s="1"/>
  <c r="H19" i="13" s="1"/>
  <c r="E24" i="13"/>
  <c r="G29" i="13" s="1"/>
  <c r="H29" i="13" s="1"/>
  <c r="E10" i="13"/>
  <c r="G15" i="13" s="1"/>
  <c r="H15" i="13" s="1"/>
  <c r="E13" i="13" l="1"/>
  <c r="G18" i="13" s="1"/>
  <c r="H18" i="13" s="1"/>
  <c r="E18" i="13" l="1"/>
  <c r="G23" i="13" l="1"/>
  <c r="H23" i="13" s="1"/>
  <c r="E23" i="13"/>
  <c r="E28" i="13" l="1"/>
  <c r="G28" i="13"/>
  <c r="H28" i="13" s="1"/>
  <c r="G33" i="13" l="1"/>
  <c r="H33" i="13" s="1"/>
  <c r="E33" i="13"/>
</calcChain>
</file>

<file path=xl/sharedStrings.xml><?xml version="1.0" encoding="utf-8"?>
<sst xmlns="http://schemas.openxmlformats.org/spreadsheetml/2006/main" count="380" uniqueCount="61">
  <si>
    <r>
      <rPr>
        <b/>
        <sz val="11"/>
        <rFont val="Calibri"/>
        <family val="2"/>
        <scheme val="minor"/>
      </rPr>
      <t>sampling concentration</t>
    </r>
    <r>
      <rPr>
        <b/>
        <sz val="11"/>
        <color rgb="FFC00000"/>
        <rFont val="Calibri"/>
        <family val="2"/>
        <scheme val="minor"/>
      </rPr>
      <t xml:space="preserve"> 
(sc_t)</t>
    </r>
    <r>
      <rPr>
        <b/>
        <sz val="11"/>
        <color theme="1"/>
        <rFont val="Calibri"/>
        <family val="2"/>
        <scheme val="minor"/>
      </rPr>
      <t xml:space="preserve"> (μg/ml)</t>
    </r>
  </si>
  <si>
    <r>
      <t xml:space="preserve">Cumulative amout of lbu sampled
</t>
    </r>
    <r>
      <rPr>
        <b/>
        <sz val="11"/>
        <color rgb="FFC00000"/>
        <rFont val="Calibri"/>
        <family val="2"/>
        <scheme val="minor"/>
      </rPr>
      <t>csm_(t-1) + svm_t = csm_t</t>
    </r>
    <r>
      <rPr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  <scheme val="minor"/>
      </rPr>
      <t>μg</t>
    </r>
    <r>
      <rPr>
        <sz val="11"/>
        <color theme="1"/>
        <rFont val="Calibri"/>
        <family val="2"/>
        <scheme val="minor"/>
      </rPr>
      <t>)</t>
    </r>
  </si>
  <si>
    <r>
      <rPr>
        <b/>
        <sz val="11"/>
        <color theme="1"/>
        <rFont val="Calibri"/>
        <family val="2"/>
        <scheme val="minor"/>
      </rPr>
      <t>Initial_Condition</t>
    </r>
    <r>
      <rPr>
        <sz val="11"/>
        <color theme="1"/>
        <rFont val="Calibri"/>
        <family val="2"/>
        <scheme val="minor"/>
      </rPr>
      <t xml:space="preserve">: 
</t>
    </r>
    <r>
      <rPr>
        <b/>
        <sz val="11"/>
        <color rgb="FFC00000"/>
        <rFont val="Calibri"/>
        <family val="2"/>
        <scheme val="minor"/>
      </rPr>
      <t>csm_(t-1)=0</t>
    </r>
  </si>
  <si>
    <r>
      <t>Corrected amount in receptor chamber (</t>
    </r>
    <r>
      <rPr>
        <b/>
        <sz val="11"/>
        <color rgb="FFC00000"/>
        <rFont val="Calibri"/>
        <family val="2"/>
        <scheme val="minor"/>
      </rPr>
      <t>CARC</t>
    </r>
    <r>
      <rPr>
        <sz val="11"/>
        <color theme="1"/>
        <rFont val="Calibri"/>
        <family val="2"/>
        <scheme val="minor"/>
      </rPr>
      <t xml:space="preserve">)
</t>
    </r>
    <r>
      <rPr>
        <b/>
        <sz val="11"/>
        <color rgb="FFC00000"/>
        <rFont val="Calibri"/>
        <family val="2"/>
        <scheme val="minor"/>
      </rPr>
      <t>CARC_t = ARC_t + csm_(t-1)</t>
    </r>
    <r>
      <rPr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  <scheme val="minor"/>
      </rPr>
      <t>μg</t>
    </r>
    <r>
      <rPr>
        <sz val="11"/>
        <color theme="1"/>
        <rFont val="Calibri"/>
        <family val="2"/>
        <scheme val="minor"/>
      </rPr>
      <t>)</t>
    </r>
  </si>
  <si>
    <r>
      <t>By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UV-Vis Spectrometer</t>
    </r>
  </si>
  <si>
    <t>B1</t>
  </si>
  <si>
    <t>B2</t>
  </si>
  <si>
    <t>Time (h)</t>
  </si>
  <si>
    <r>
      <t>Sampling Volume</t>
    </r>
    <r>
      <rPr>
        <b/>
        <sz val="11"/>
        <color theme="1"/>
        <rFont val="Calibri"/>
        <family val="2"/>
        <scheme val="minor"/>
      </rPr>
      <t xml:space="preserve"> (</t>
    </r>
    <r>
      <rPr>
        <b/>
        <sz val="11"/>
        <color rgb="FFC00000"/>
        <rFont val="Calibri"/>
        <family val="2"/>
        <scheme val="minor"/>
      </rPr>
      <t>sv</t>
    </r>
    <r>
      <rPr>
        <b/>
        <sz val="11"/>
        <color theme="1"/>
        <rFont val="Calibri"/>
        <family val="2"/>
        <scheme val="minor"/>
      </rPr>
      <t>=</t>
    </r>
    <r>
      <rPr>
        <b/>
        <sz val="11"/>
        <color rgb="FFC00000"/>
        <rFont val="Calibri"/>
        <family val="2"/>
        <scheme val="minor"/>
      </rPr>
      <t>1.0 ml</t>
    </r>
    <r>
      <rPr>
        <b/>
        <sz val="11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 xml:space="preserve"> to test concentration &amp; getting mass of permeation 
</t>
    </r>
    <r>
      <rPr>
        <b/>
        <sz val="11"/>
        <color rgb="FFC00000"/>
        <rFont val="Calibri"/>
        <family val="2"/>
        <scheme val="minor"/>
      </rPr>
      <t>sv</t>
    </r>
    <r>
      <rPr>
        <sz val="11"/>
        <color theme="1"/>
        <rFont val="Calibri"/>
        <family val="2"/>
        <scheme val="minor"/>
      </rPr>
      <t>*</t>
    </r>
    <r>
      <rPr>
        <b/>
        <sz val="11"/>
        <color rgb="FFC00000"/>
        <rFont val="Calibri"/>
        <family val="2"/>
        <scheme val="minor"/>
      </rPr>
      <t>sc_t</t>
    </r>
    <r>
      <rPr>
        <sz val="11"/>
        <color theme="1"/>
        <rFont val="Calibri"/>
        <family val="2"/>
        <scheme val="minor"/>
      </rPr>
      <t xml:space="preserve">= </t>
    </r>
    <r>
      <rPr>
        <b/>
        <sz val="11"/>
        <color rgb="FFC00000"/>
        <rFont val="Calibri"/>
        <family val="2"/>
        <scheme val="minor"/>
      </rPr>
      <t>svm_t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(μg)</t>
    </r>
  </si>
  <si>
    <t>0.5h</t>
  </si>
  <si>
    <t>1h</t>
  </si>
  <si>
    <t>2h</t>
  </si>
  <si>
    <t>S1</t>
  </si>
  <si>
    <t>S2</t>
  </si>
  <si>
    <r>
      <t>Amout in Receptor Chamber (</t>
    </r>
    <r>
      <rPr>
        <b/>
        <sz val="11"/>
        <color rgb="FFC00000"/>
        <rFont val="Calibri"/>
        <family val="2"/>
        <scheme val="minor"/>
      </rPr>
      <t>ARC</t>
    </r>
    <r>
      <rPr>
        <sz val="11"/>
        <color theme="1"/>
        <rFont val="Calibri"/>
        <family val="2"/>
        <scheme val="minor"/>
      </rPr>
      <t xml:space="preserve">)
</t>
    </r>
    <r>
      <rPr>
        <b/>
        <sz val="11"/>
        <color rgb="FFC00000"/>
        <rFont val="Calibri"/>
        <family val="2"/>
        <scheme val="minor"/>
      </rPr>
      <t>ARC_t=TV*sc_t</t>
    </r>
    <r>
      <rPr>
        <sz val="11"/>
        <color theme="1"/>
        <rFont val="Calibri"/>
        <family val="2"/>
        <scheme val="minor"/>
      </rPr>
      <t xml:space="preserve">  (</t>
    </r>
    <r>
      <rPr>
        <b/>
        <sz val="11"/>
        <color theme="1"/>
        <rFont val="Calibri"/>
        <family val="2"/>
        <scheme val="minor"/>
      </rPr>
      <t>μg</t>
    </r>
    <r>
      <rPr>
        <sz val="11"/>
        <color theme="1"/>
        <rFont val="Calibri"/>
        <family val="2"/>
        <scheme val="minor"/>
      </rPr>
      <t>)
(B1,B2 = 30.66ml)
(M=21.56ml)
(S1 = 13.95ml, S2=16.5ml)</t>
    </r>
  </si>
  <si>
    <r>
      <t>Amount of lbu permeated per unit of area 
(</t>
    </r>
    <r>
      <rPr>
        <b/>
        <sz val="11"/>
        <color rgb="FFC00000"/>
        <rFont val="Calibri"/>
        <family val="2"/>
        <scheme val="minor"/>
      </rPr>
      <t>S1,S2=1.002874915cm^2</t>
    </r>
    <r>
      <rPr>
        <sz val="11"/>
        <color theme="1"/>
        <rFont val="Calibri"/>
        <family val="2"/>
        <scheme val="minor"/>
      </rPr>
      <t>)
(</t>
    </r>
    <r>
      <rPr>
        <b/>
        <sz val="11"/>
        <color rgb="FFC00000"/>
        <rFont val="Calibri"/>
        <family val="2"/>
        <scheme val="minor"/>
      </rPr>
      <t>B1,B2=3.141592654cm^2</t>
    </r>
    <r>
      <rPr>
        <sz val="11"/>
        <color theme="1"/>
        <rFont val="Calibri"/>
        <family val="2"/>
        <scheme val="minor"/>
      </rPr>
      <t>)
(</t>
    </r>
    <r>
      <rPr>
        <b/>
        <sz val="11"/>
        <color rgb="FFC00000"/>
        <rFont val="Calibri"/>
        <family val="2"/>
        <scheme val="minor"/>
      </rPr>
      <t>M=1.767145868 cm^2</t>
    </r>
    <r>
      <rPr>
        <sz val="11"/>
        <color theme="1"/>
        <rFont val="Calibri"/>
        <family val="2"/>
        <scheme val="minor"/>
      </rPr>
      <t xml:space="preserve">)
</t>
    </r>
    <r>
      <rPr>
        <b/>
        <sz val="11"/>
        <color rgb="FFC00000"/>
        <rFont val="Calibri"/>
        <family val="2"/>
        <scheme val="minor"/>
      </rPr>
      <t>C_t = CARC_t/S</t>
    </r>
    <r>
      <rPr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  <scheme val="minor"/>
      </rPr>
      <t>μg/cm^2</t>
    </r>
    <r>
      <rPr>
        <sz val="11"/>
        <color theme="1"/>
        <rFont val="Calibri"/>
        <family val="2"/>
        <scheme val="minor"/>
      </rPr>
      <t>)</t>
    </r>
  </si>
  <si>
    <t>3h</t>
  </si>
  <si>
    <t>4h</t>
  </si>
  <si>
    <t>5h</t>
  </si>
  <si>
    <t>6h</t>
  </si>
  <si>
    <t>TIME</t>
  </si>
  <si>
    <t>ug/cm^2</t>
  </si>
  <si>
    <t>Mean</t>
  </si>
  <si>
    <t>TIME (h)</t>
  </si>
  <si>
    <t>M</t>
  </si>
  <si>
    <t>Note: These data are the amount of ibuprofen in 1 ml of each sample.</t>
  </si>
  <si>
    <t>STD</t>
  </si>
  <si>
    <t>Corrected T(Sqrt)</t>
  </si>
  <si>
    <t>Std</t>
  </si>
  <si>
    <t>Ave</t>
  </si>
  <si>
    <r>
      <rPr>
        <b/>
        <sz val="11"/>
        <color theme="1"/>
        <rFont val="Calibri"/>
        <family val="2"/>
        <scheme val="minor"/>
      </rPr>
      <t>(</t>
    </r>
    <r>
      <rPr>
        <b/>
        <sz val="11"/>
        <color rgb="FFC00000"/>
        <rFont val="Calibri"/>
        <family val="2"/>
        <scheme val="minor"/>
      </rPr>
      <t>Total Volume (TV)</t>
    </r>
    <r>
      <rPr>
        <b/>
        <sz val="11"/>
        <color theme="1"/>
        <rFont val="Calibri"/>
        <family val="2"/>
        <scheme val="minor"/>
      </rPr>
      <t>)</t>
    </r>
  </si>
  <si>
    <t>Opt-1</t>
  </si>
  <si>
    <t>Opt-2</t>
  </si>
  <si>
    <t>Opt-3</t>
  </si>
  <si>
    <t>Opt-4</t>
  </si>
  <si>
    <t>Opt-5</t>
  </si>
  <si>
    <t>S</t>
  </si>
  <si>
    <t>OPT-1</t>
  </si>
  <si>
    <t>Poloxamer 407</t>
  </si>
  <si>
    <t>Ethanol</t>
  </si>
  <si>
    <t>Formulation</t>
  </si>
  <si>
    <t>OPT-2</t>
  </si>
  <si>
    <t>OPT-3</t>
  </si>
  <si>
    <t>OPT-4</t>
  </si>
  <si>
    <t>OPT-5</t>
  </si>
  <si>
    <t xml:space="preserve">Propylene glycol </t>
  </si>
  <si>
    <t>Measured_mean</t>
  </si>
  <si>
    <t>Std_t1</t>
  </si>
  <si>
    <t>Std_t2</t>
  </si>
  <si>
    <t>Std_t3</t>
  </si>
  <si>
    <t>Std_t4</t>
  </si>
  <si>
    <t>Std_t5</t>
  </si>
  <si>
    <t>Std_t6</t>
  </si>
  <si>
    <t>Std_t7</t>
  </si>
  <si>
    <t>M_t1</t>
  </si>
  <si>
    <t>M_t2</t>
  </si>
  <si>
    <t>M_t3</t>
  </si>
  <si>
    <t>M_t4</t>
  </si>
  <si>
    <t>M_t5</t>
  </si>
  <si>
    <t>M_t6</t>
  </si>
  <si>
    <t>M_t7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</si>
</sst>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3"/>
      <charset val="134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CE8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7" fillId="3" borderId="0" xfId="0" applyFont="1" applyFill="1"/>
    <xf numFmtId="0" fontId="6" fillId="0" borderId="0" xfId="0" applyFont="1"/>
    <xf numFmtId="0" fontId="8" fillId="0" borderId="0" xfId="0" applyFont="1" applyAlignment="1">
      <alignment horizontal="center" vertical="center"/>
    </xf>
    <xf numFmtId="0" fontId="0" fillId="4" borderId="0" xfId="0" applyFill="1"/>
    <xf numFmtId="0" fontId="9" fillId="0" borderId="0" xfId="0" applyFont="1" applyAlignment="1">
      <alignment vertical="center"/>
    </xf>
    <xf numFmtId="0" fontId="7" fillId="5" borderId="0" xfId="0" applyFont="1" applyFill="1"/>
    <xf numFmtId="0" fontId="0" fillId="5" borderId="0" xfId="0" applyFill="1"/>
    <xf numFmtId="0" fontId="6" fillId="5" borderId="0" xfId="0" applyFont="1" applyFill="1"/>
    <xf numFmtId="0" fontId="3" fillId="6" borderId="0" xfId="0" applyFont="1" applyFill="1"/>
    <xf numFmtId="0" fontId="0" fillId="7" borderId="0" xfId="0" applyFill="1"/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 vertical="center"/>
    </xf>
    <xf numFmtId="4" fontId="0" fillId="9" borderId="0" xfId="0" applyNumberForma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CE8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'Opt-1'!$J$10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'Opt-1'!$K$10:$Q$10</c:f>
              <c:numCache>
                <c:formatCode>General</c:formatCode>
                <c:ptCount val="7"/>
                <c:pt idx="0">
                  <c:v>332.98609676452145</c:v>
                </c:pt>
                <c:pt idx="1">
                  <c:v>725.85537434301568</c:v>
                </c:pt>
                <c:pt idx="2">
                  <c:v>1491.0706876789645</c:v>
                </c:pt>
                <c:pt idx="3">
                  <c:v>2235.138217789447</c:v>
                </c:pt>
                <c:pt idx="4">
                  <c:v>2837.4462855935294</c:v>
                </c:pt>
                <c:pt idx="5">
                  <c:v>3395.9558684338481</c:v>
                </c:pt>
                <c:pt idx="6">
                  <c:v>3867.8776939478876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48-4DB2-94A4-B01EA4BC9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2025792"/>
        <c:axId val="1942026272"/>
      </c:lineChart>
      <c:catAx>
        <c:axId val="1942025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026272"/>
        <c:crosses val="autoZero"/>
        <c:auto val="1"/>
        <c:lblAlgn val="ctr"/>
        <c:lblOffset val="100"/>
        <c:noMultiLvlLbl val="0"/>
      </c:catAx>
      <c:valAx>
        <c:axId val="194202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02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'Opt-2'!$J$10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635189640279556E-3"/>
                  <c:y val="-0.196506071925162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'Opt-2'!$K$10:$Q$10</c:f>
              <c:numCache>
                <c:formatCode>General</c:formatCode>
                <c:ptCount val="7"/>
                <c:pt idx="0">
                  <c:v>212.96112401089252</c:v>
                </c:pt>
                <c:pt idx="1">
                  <c:v>567.26669940341105</c:v>
                </c:pt>
                <c:pt idx="2">
                  <c:v>1405.5477186253254</c:v>
                </c:pt>
                <c:pt idx="3">
                  <c:v>2082.6156232310514</c:v>
                </c:pt>
                <c:pt idx="4">
                  <c:v>2605.5483233577338</c:v>
                </c:pt>
                <c:pt idx="5">
                  <c:v>3057.3647092385058</c:v>
                </c:pt>
                <c:pt idx="6">
                  <c:v>3445.8879384486181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03-46CC-BA4F-721238B40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2025792"/>
        <c:axId val="1942026272"/>
      </c:lineChart>
      <c:catAx>
        <c:axId val="1942025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026272"/>
        <c:crosses val="autoZero"/>
        <c:auto val="1"/>
        <c:lblAlgn val="ctr"/>
        <c:lblOffset val="100"/>
        <c:noMultiLvlLbl val="0"/>
      </c:catAx>
      <c:valAx>
        <c:axId val="194202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02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'Opt-3'!$J$10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5547290496212906E-2"/>
                  <c:y val="-0.147315147725496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'Opt-3'!$K$10:$Q$10</c:f>
              <c:numCache>
                <c:formatCode>General</c:formatCode>
                <c:ptCount val="7"/>
                <c:pt idx="0">
                  <c:v>203.21149287050025</c:v>
                </c:pt>
                <c:pt idx="1">
                  <c:v>565.82863620180558</c:v>
                </c:pt>
                <c:pt idx="2">
                  <c:v>1446.5829269862238</c:v>
                </c:pt>
                <c:pt idx="3">
                  <c:v>2099.7784683726268</c:v>
                </c:pt>
                <c:pt idx="4">
                  <c:v>2689.283409598836</c:v>
                </c:pt>
                <c:pt idx="5">
                  <c:v>3263.9238624359523</c:v>
                </c:pt>
                <c:pt idx="6">
                  <c:v>3754.5045782438929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A7-4207-99C5-0103F8BBB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2025792"/>
        <c:axId val="1942026272"/>
      </c:lineChart>
      <c:catAx>
        <c:axId val="1942025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026272"/>
        <c:crosses val="autoZero"/>
        <c:auto val="1"/>
        <c:lblAlgn val="ctr"/>
        <c:lblOffset val="100"/>
        <c:noMultiLvlLbl val="0"/>
      </c:catAx>
      <c:valAx>
        <c:axId val="194202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02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'Opt-1'!$J$10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'Opt-1'!$K$10:$Q$10</c:f>
              <c:numCache>
                <c:formatCode>General</c:formatCode>
                <c:ptCount val="7"/>
                <c:pt idx="0">
                  <c:v>332.98609676452145</c:v>
                </c:pt>
                <c:pt idx="1">
                  <c:v>725.85537434301568</c:v>
                </c:pt>
                <c:pt idx="2">
                  <c:v>1491.0706876789645</c:v>
                </c:pt>
                <c:pt idx="3">
                  <c:v>2235.138217789447</c:v>
                </c:pt>
                <c:pt idx="4">
                  <c:v>2837.4462855935294</c:v>
                </c:pt>
                <c:pt idx="5">
                  <c:v>3395.9558684338481</c:v>
                </c:pt>
                <c:pt idx="6">
                  <c:v>3867.8776939478876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0D-4597-8EF8-8D9D9ABC3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2025792"/>
        <c:axId val="1942026272"/>
      </c:lineChart>
      <c:catAx>
        <c:axId val="1942025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026272"/>
        <c:crosses val="autoZero"/>
        <c:auto val="1"/>
        <c:lblAlgn val="ctr"/>
        <c:lblOffset val="100"/>
        <c:noMultiLvlLbl val="0"/>
      </c:catAx>
      <c:valAx>
        <c:axId val="194202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02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'Opt-1'!$J$10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'Opt-1'!$K$10:$Q$10</c:f>
              <c:numCache>
                <c:formatCode>General</c:formatCode>
                <c:ptCount val="7"/>
                <c:pt idx="0">
                  <c:v>332.98609676452145</c:v>
                </c:pt>
                <c:pt idx="1">
                  <c:v>725.85537434301568</c:v>
                </c:pt>
                <c:pt idx="2">
                  <c:v>1491.0706876789645</c:v>
                </c:pt>
                <c:pt idx="3">
                  <c:v>2235.138217789447</c:v>
                </c:pt>
                <c:pt idx="4">
                  <c:v>2837.4462855935294</c:v>
                </c:pt>
                <c:pt idx="5">
                  <c:v>3395.9558684338481</c:v>
                </c:pt>
                <c:pt idx="6">
                  <c:v>3867.8776939478876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2A-4CD5-9211-F0A2D1CC5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2025792"/>
        <c:axId val="1942026272"/>
      </c:lineChart>
      <c:catAx>
        <c:axId val="1942025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026272"/>
        <c:crosses val="autoZero"/>
        <c:auto val="1"/>
        <c:lblAlgn val="ctr"/>
        <c:lblOffset val="100"/>
        <c:noMultiLvlLbl val="0"/>
      </c:catAx>
      <c:valAx>
        <c:axId val="194202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02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12</xdr:row>
      <xdr:rowOff>144461</xdr:rowOff>
    </xdr:from>
    <xdr:to>
      <xdr:col>14</xdr:col>
      <xdr:colOff>123825</xdr:colOff>
      <xdr:row>23</xdr:row>
      <xdr:rowOff>95249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ACBF9F-37F1-072B-745D-41B88F574A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12</xdr:row>
      <xdr:rowOff>144461</xdr:rowOff>
    </xdr:from>
    <xdr:to>
      <xdr:col>14</xdr:col>
      <xdr:colOff>123825</xdr:colOff>
      <xdr:row>23</xdr:row>
      <xdr:rowOff>95249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CEC051-EB93-400E-BC01-AC6F5461AA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12</xdr:row>
      <xdr:rowOff>144461</xdr:rowOff>
    </xdr:from>
    <xdr:to>
      <xdr:col>14</xdr:col>
      <xdr:colOff>123825</xdr:colOff>
      <xdr:row>23</xdr:row>
      <xdr:rowOff>95249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434639-EC29-4CBA-8D19-9446B3732D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12</xdr:row>
      <xdr:rowOff>144461</xdr:rowOff>
    </xdr:from>
    <xdr:to>
      <xdr:col>14</xdr:col>
      <xdr:colOff>123825</xdr:colOff>
      <xdr:row>23</xdr:row>
      <xdr:rowOff>95249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0A986A-753C-49AD-AD45-64370AE2C7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12</xdr:row>
      <xdr:rowOff>144461</xdr:rowOff>
    </xdr:from>
    <xdr:to>
      <xdr:col>14</xdr:col>
      <xdr:colOff>123825</xdr:colOff>
      <xdr:row>23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DBB57D-93E4-4605-9F75-FA39B5A973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D63E8-4218-4F25-9B41-383521B2E10F}">
  <dimension ref="A1:R6"/>
  <sheetViews>
    <sheetView tabSelected="1" zoomScale="130" zoomScaleNormal="130" workbookViewId="0">
      <selection activeCell="I19" sqref="I19"/>
    </sheetView>
  </sheetViews>
  <sheetFormatPr defaultRowHeight="14.5"/>
  <cols>
    <col min="1" max="1" width="13.08984375" customWidth="1"/>
    <col min="2" max="2" width="13.36328125" customWidth="1"/>
    <col min="3" max="3" width="9.81640625" customWidth="1"/>
    <col min="4" max="4" width="14.90625" customWidth="1"/>
    <col min="5" max="5" width="11.26953125" customWidth="1"/>
    <col min="19" max="19" width="14.6328125" customWidth="1"/>
  </cols>
  <sheetData>
    <row r="1" spans="1:18">
      <c r="A1" s="2" t="s">
        <v>40</v>
      </c>
      <c r="B1" s="18" t="s">
        <v>38</v>
      </c>
      <c r="C1" s="18" t="s">
        <v>39</v>
      </c>
      <c r="D1" s="18" t="s">
        <v>45</v>
      </c>
      <c r="E1" s="21" t="s">
        <v>54</v>
      </c>
      <c r="F1" s="22" t="s">
        <v>47</v>
      </c>
      <c r="G1" s="21" t="s">
        <v>55</v>
      </c>
      <c r="H1" s="22" t="s">
        <v>48</v>
      </c>
      <c r="I1" s="21" t="s">
        <v>56</v>
      </c>
      <c r="J1" s="22" t="s">
        <v>49</v>
      </c>
      <c r="K1" s="21" t="s">
        <v>57</v>
      </c>
      <c r="L1" s="22" t="s">
        <v>50</v>
      </c>
      <c r="M1" s="21" t="s">
        <v>58</v>
      </c>
      <c r="N1" s="22" t="s">
        <v>51</v>
      </c>
      <c r="O1" s="21" t="s">
        <v>59</v>
      </c>
      <c r="P1" s="22" t="s">
        <v>52</v>
      </c>
      <c r="Q1" s="21" t="s">
        <v>60</v>
      </c>
      <c r="R1" s="22" t="s">
        <v>53</v>
      </c>
    </row>
    <row r="2" spans="1:18" ht="13.5" customHeight="1">
      <c r="A2" s="2" t="s">
        <v>37</v>
      </c>
      <c r="B2" s="2">
        <v>26.62</v>
      </c>
      <c r="C2" s="2">
        <v>14.42</v>
      </c>
      <c r="D2" s="2">
        <v>14.11</v>
      </c>
      <c r="E2" s="2">
        <v>332.98609676452145</v>
      </c>
      <c r="F2" s="2">
        <v>52.345748166148894</v>
      </c>
      <c r="G2" s="2">
        <v>725.85537434301568</v>
      </c>
      <c r="H2" s="2">
        <v>76.378937470512852</v>
      </c>
      <c r="I2" s="2">
        <v>1491.0706876789645</v>
      </c>
      <c r="J2" s="2">
        <v>127.61795498961592</v>
      </c>
      <c r="K2" s="2">
        <v>2235.138217789447</v>
      </c>
      <c r="L2" s="2">
        <v>94.986287624949469</v>
      </c>
      <c r="M2" s="2">
        <v>2837.4462855935294</v>
      </c>
      <c r="N2" s="2">
        <v>188.27756289632478</v>
      </c>
      <c r="O2" s="2">
        <v>3395.9558684338481</v>
      </c>
      <c r="P2" s="2">
        <v>165.43058180425834</v>
      </c>
      <c r="Q2" s="2">
        <v>3867.8776939478876</v>
      </c>
      <c r="R2" s="2">
        <v>102.74235228114523</v>
      </c>
    </row>
    <row r="3" spans="1:18">
      <c r="A3" s="2" t="s">
        <v>41</v>
      </c>
      <c r="B3" s="2">
        <v>26.59</v>
      </c>
      <c r="C3" s="2">
        <v>14.42</v>
      </c>
      <c r="D3" s="2">
        <v>14.1</v>
      </c>
      <c r="E3" s="2">
        <v>212.96112401089249</v>
      </c>
      <c r="F3" s="2">
        <v>19.362938655334364</v>
      </c>
      <c r="G3" s="2">
        <v>567.26669940341094</v>
      </c>
      <c r="H3" s="2">
        <v>20.253135324943383</v>
      </c>
      <c r="I3" s="2">
        <v>1405.5477186253252</v>
      </c>
      <c r="J3" s="2">
        <v>183.51077798728224</v>
      </c>
      <c r="K3" s="2">
        <v>2082.6156232310509</v>
      </c>
      <c r="L3" s="2">
        <v>287.38159710976242</v>
      </c>
      <c r="M3" s="2">
        <v>2605.5483233577343</v>
      </c>
      <c r="N3" s="2">
        <v>307.16644824602145</v>
      </c>
      <c r="O3" s="2">
        <v>3057.3647092385054</v>
      </c>
      <c r="P3" s="2">
        <v>290.29293899330196</v>
      </c>
      <c r="Q3" s="2">
        <v>3445.8879384486172</v>
      </c>
      <c r="R3" s="2">
        <v>295.45462931771317</v>
      </c>
    </row>
    <row r="4" spans="1:18">
      <c r="A4" s="2" t="s">
        <v>42</v>
      </c>
      <c r="B4" s="2">
        <v>26.6</v>
      </c>
      <c r="C4" s="2">
        <v>14.4</v>
      </c>
      <c r="D4" s="2">
        <v>14.11</v>
      </c>
      <c r="E4">
        <v>203.21149287050025</v>
      </c>
      <c r="F4">
        <v>24.720176044058697</v>
      </c>
      <c r="G4">
        <v>565.82863620180558</v>
      </c>
      <c r="H4">
        <v>34.39918690173478</v>
      </c>
      <c r="I4">
        <v>1446.5829269862238</v>
      </c>
      <c r="J4">
        <v>138.73781414469127</v>
      </c>
      <c r="K4">
        <v>2099.7784683726268</v>
      </c>
      <c r="L4">
        <v>196.70840807090522</v>
      </c>
      <c r="M4">
        <v>2689.283409598836</v>
      </c>
      <c r="N4">
        <v>247.71323546346818</v>
      </c>
      <c r="O4">
        <v>3263.9238624359523</v>
      </c>
      <c r="P4">
        <v>246.95979067248462</v>
      </c>
      <c r="Q4">
        <v>3754.5045782438929</v>
      </c>
      <c r="R4">
        <v>223.78209172143764</v>
      </c>
    </row>
    <row r="5" spans="1:18">
      <c r="A5" s="2" t="s">
        <v>43</v>
      </c>
      <c r="B5" s="2">
        <v>26.6</v>
      </c>
      <c r="C5" s="2">
        <v>14.44</v>
      </c>
      <c r="D5" s="2">
        <v>14.1</v>
      </c>
      <c r="E5">
        <v>221.19336519554724</v>
      </c>
      <c r="F5">
        <v>75.743347348684779</v>
      </c>
      <c r="G5">
        <v>607.37164558567667</v>
      </c>
      <c r="H5">
        <v>62.292639814350473</v>
      </c>
      <c r="I5">
        <v>1432.6613817245293</v>
      </c>
      <c r="J5">
        <v>182.08160483030326</v>
      </c>
      <c r="K5">
        <v>2104.1379942435865</v>
      </c>
      <c r="L5">
        <v>238.21365545085771</v>
      </c>
      <c r="M5">
        <v>2633.2217715122824</v>
      </c>
      <c r="N5">
        <v>248.26899198673715</v>
      </c>
      <c r="O5">
        <v>3161.9712180655461</v>
      </c>
      <c r="P5">
        <v>244.95167953383984</v>
      </c>
      <c r="Q5">
        <v>3860.4136928819803</v>
      </c>
      <c r="R5">
        <v>253.60121136612841</v>
      </c>
    </row>
    <row r="6" spans="1:18">
      <c r="A6" s="2" t="s">
        <v>44</v>
      </c>
      <c r="B6" s="2">
        <v>26.73</v>
      </c>
      <c r="C6" s="2">
        <v>14.53</v>
      </c>
      <c r="D6" s="2">
        <v>14.1</v>
      </c>
      <c r="E6">
        <v>217.02804705409707</v>
      </c>
      <c r="F6">
        <v>38.968191581248355</v>
      </c>
      <c r="G6">
        <v>534.83770433831353</v>
      </c>
      <c r="H6">
        <v>28.188656699370654</v>
      </c>
      <c r="I6">
        <v>1364.4951049841632</v>
      </c>
      <c r="J6">
        <v>144.25675035951687</v>
      </c>
      <c r="K6">
        <v>2008.8056698300065</v>
      </c>
      <c r="L6">
        <v>253.27050525368375</v>
      </c>
      <c r="M6">
        <v>2565.5760080867703</v>
      </c>
      <c r="N6">
        <v>252.69905883537234</v>
      </c>
      <c r="O6">
        <v>3091.0372234801266</v>
      </c>
      <c r="P6">
        <v>273.85441534030485</v>
      </c>
      <c r="Q6">
        <v>3669.550765086874</v>
      </c>
      <c r="R6">
        <v>92.669251511415794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8A37-28BC-45AB-96B1-B8CE692B818C}">
  <dimension ref="A1:F6"/>
  <sheetViews>
    <sheetView zoomScale="130" zoomScaleNormal="130" workbookViewId="0">
      <selection activeCell="J14" sqref="J14"/>
    </sheetView>
  </sheetViews>
  <sheetFormatPr defaultRowHeight="14.5"/>
  <cols>
    <col min="5" max="5" width="10.36328125" style="20" customWidth="1"/>
    <col min="6" max="6" width="8.7265625" style="20"/>
  </cols>
  <sheetData>
    <row r="1" spans="1:6">
      <c r="A1" s="2" t="s">
        <v>40</v>
      </c>
      <c r="B1" s="18" t="s">
        <v>38</v>
      </c>
      <c r="C1" s="18" t="s">
        <v>39</v>
      </c>
      <c r="D1" s="18" t="s">
        <v>45</v>
      </c>
      <c r="E1" s="19" t="s">
        <v>46</v>
      </c>
      <c r="F1" s="19" t="s">
        <v>28</v>
      </c>
    </row>
    <row r="2" spans="1:6">
      <c r="A2" s="2" t="s">
        <v>37</v>
      </c>
      <c r="B2" s="2">
        <v>26.62</v>
      </c>
      <c r="C2" s="2">
        <v>14.42</v>
      </c>
      <c r="D2" s="2">
        <v>14.11</v>
      </c>
      <c r="E2" s="2">
        <v>3867.88</v>
      </c>
      <c r="F2" s="2">
        <v>102.74</v>
      </c>
    </row>
    <row r="3" spans="1:6">
      <c r="A3" s="2" t="s">
        <v>41</v>
      </c>
      <c r="B3" s="2">
        <v>26.59</v>
      </c>
      <c r="C3" s="2">
        <v>14.42</v>
      </c>
      <c r="D3" s="2">
        <v>14.1</v>
      </c>
      <c r="E3" s="20">
        <v>3445.8879384486199</v>
      </c>
      <c r="F3" s="20">
        <v>295.45462931771317</v>
      </c>
    </row>
    <row r="4" spans="1:6">
      <c r="A4" s="2" t="s">
        <v>42</v>
      </c>
      <c r="B4" s="2">
        <v>26.6</v>
      </c>
      <c r="C4" s="2">
        <v>14.4</v>
      </c>
      <c r="D4" s="2">
        <v>14.11</v>
      </c>
      <c r="E4">
        <v>3754.5045782438929</v>
      </c>
      <c r="F4">
        <v>223.78209172143764</v>
      </c>
    </row>
    <row r="5" spans="1:6">
      <c r="A5" s="2" t="s">
        <v>43</v>
      </c>
      <c r="B5" s="2">
        <v>26.6</v>
      </c>
      <c r="C5" s="2">
        <v>14.44</v>
      </c>
      <c r="D5" s="2">
        <v>14.1</v>
      </c>
      <c r="E5" s="20">
        <v>3860.4136928819803</v>
      </c>
      <c r="F5" s="20">
        <v>253.60121136612841</v>
      </c>
    </row>
    <row r="6" spans="1:6">
      <c r="A6" s="2" t="s">
        <v>44</v>
      </c>
      <c r="B6" s="2">
        <v>26.73</v>
      </c>
      <c r="C6" s="2">
        <v>14.53</v>
      </c>
      <c r="D6" s="2">
        <v>14.1</v>
      </c>
      <c r="E6" s="20">
        <v>3669.550765086874</v>
      </c>
      <c r="F6" s="20">
        <v>92.669251511415794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"/>
  <sheetViews>
    <sheetView zoomScale="160" zoomScaleNormal="160" workbookViewId="0">
      <selection activeCell="J22" sqref="J22"/>
    </sheetView>
  </sheetViews>
  <sheetFormatPr defaultRowHeight="14.5"/>
  <cols>
    <col min="1" max="1" width="8.7265625" style="10"/>
    <col min="2" max="2" width="9.90625" customWidth="1"/>
  </cols>
  <sheetData>
    <row r="1" spans="1:17">
      <c r="B1" s="6" t="s">
        <v>7</v>
      </c>
      <c r="C1" s="6">
        <v>0.5</v>
      </c>
      <c r="D1" s="6">
        <v>1</v>
      </c>
      <c r="E1" s="6">
        <v>2</v>
      </c>
      <c r="F1" s="6">
        <v>3</v>
      </c>
      <c r="G1" s="6">
        <v>4</v>
      </c>
      <c r="H1" s="6">
        <v>5</v>
      </c>
      <c r="I1" s="6">
        <v>6</v>
      </c>
      <c r="K1" t="s">
        <v>29</v>
      </c>
      <c r="M1" t="s">
        <v>25</v>
      </c>
    </row>
    <row r="2" spans="1:17">
      <c r="A2" s="23" t="s">
        <v>31</v>
      </c>
      <c r="B2" s="7" t="s">
        <v>36</v>
      </c>
      <c r="C2">
        <v>25.633741093430569</v>
      </c>
      <c r="D2">
        <v>50.058663084302012</v>
      </c>
      <c r="E2">
        <v>91.553802143608465</v>
      </c>
      <c r="F2">
        <v>126.1443978436911</v>
      </c>
      <c r="G2">
        <v>150.48413260864729</v>
      </c>
      <c r="H2">
        <v>170.4779163713643</v>
      </c>
      <c r="I2">
        <v>194.264837446272</v>
      </c>
      <c r="K2">
        <f>AVERAGE(C2:C5)</f>
        <v>28.257451734507175</v>
      </c>
      <c r="L2">
        <f>AVERAGE(D2:D5)</f>
        <v>60.621883033810128</v>
      </c>
      <c r="M2">
        <f>AVERAGE(E2:E5)</f>
        <v>126.07212441040996</v>
      </c>
      <c r="N2">
        <f>AVERAGE(F2:F4)</f>
        <v>174.80452977771347</v>
      </c>
      <c r="O2">
        <f>AVERAGE(G2:G5)</f>
        <v>234.60626391717761</v>
      </c>
      <c r="P2">
        <f>AVERAGE(H2:H5)</f>
        <v>278.16394237375198</v>
      </c>
      <c r="Q2">
        <f>AVERAGE(I2:I5)</f>
        <v>312.54981061658367</v>
      </c>
    </row>
    <row r="3" spans="1:17">
      <c r="A3" s="23"/>
      <c r="B3" s="7" t="s">
        <v>24</v>
      </c>
      <c r="C3">
        <v>23.46033313599391</v>
      </c>
      <c r="D3">
        <v>58.436027227683077</v>
      </c>
      <c r="E3">
        <v>100.41379781012</v>
      </c>
      <c r="F3">
        <v>163.996251378539</v>
      </c>
      <c r="G3">
        <v>203.54110027983799</v>
      </c>
      <c r="H3">
        <v>246.47833297032301</v>
      </c>
      <c r="I3">
        <v>284.850901498795</v>
      </c>
    </row>
    <row r="4" spans="1:17">
      <c r="A4" s="23"/>
      <c r="B4" s="7" t="s">
        <v>6</v>
      </c>
      <c r="C4">
        <v>32.238228219280963</v>
      </c>
      <c r="D4">
        <v>68.580435386138575</v>
      </c>
      <c r="E4">
        <v>154.70934671217901</v>
      </c>
      <c r="F4">
        <v>234.2729401109103</v>
      </c>
      <c r="G4">
        <v>309.48487081663927</v>
      </c>
      <c r="H4">
        <v>348.68419251351202</v>
      </c>
      <c r="I4">
        <v>386.21821804279551</v>
      </c>
    </row>
    <row r="5" spans="1:17">
      <c r="A5" s="23"/>
      <c r="B5" s="7" t="s">
        <v>5</v>
      </c>
      <c r="C5">
        <v>31.697504489323261</v>
      </c>
      <c r="D5">
        <v>65.412406437116857</v>
      </c>
      <c r="E5">
        <v>157.61155097573231</v>
      </c>
      <c r="F5">
        <v>223.29532609420389</v>
      </c>
      <c r="G5">
        <v>274.91495196358602</v>
      </c>
      <c r="H5">
        <v>347.01532763980867</v>
      </c>
      <c r="I5">
        <v>384.86528547847212</v>
      </c>
    </row>
    <row r="6" spans="1:17">
      <c r="A6" s="23" t="s">
        <v>32</v>
      </c>
      <c r="B6" t="s">
        <v>36</v>
      </c>
      <c r="C6">
        <v>14.07952441182664</v>
      </c>
      <c r="D6">
        <v>31.61265600134341</v>
      </c>
      <c r="E6">
        <v>63.873116954477183</v>
      </c>
      <c r="F6">
        <v>93.315509430858668</v>
      </c>
      <c r="G6">
        <v>115.06509431079201</v>
      </c>
      <c r="H6">
        <v>136.81094773833951</v>
      </c>
      <c r="I6">
        <v>151.7274152714995</v>
      </c>
      <c r="K6">
        <f>AVERAGE(C6:C9)</f>
        <v>18.260110881891844</v>
      </c>
      <c r="L6">
        <f>AVERAGE(D6:D9)</f>
        <v>48.841811581724045</v>
      </c>
      <c r="M6">
        <f>AVERAGE(E6:E9)</f>
        <v>122.29829199233662</v>
      </c>
      <c r="N6">
        <f>AVERAGE(F5:F9)</f>
        <v>187.60434357711529</v>
      </c>
      <c r="O6">
        <f>AVERAGE(G6:G9)</f>
        <v>218.99104994765298</v>
      </c>
      <c r="P6">
        <f>AVERAGE(H6:H9)</f>
        <v>252.97543786121827</v>
      </c>
      <c r="Q6">
        <f>AVERAGE(I6:I9)</f>
        <v>282.30306603151791</v>
      </c>
    </row>
    <row r="7" spans="1:17">
      <c r="A7" s="23"/>
      <c r="B7" t="s">
        <v>24</v>
      </c>
      <c r="C7">
        <v>18.342769762835399</v>
      </c>
      <c r="D7">
        <v>46.480020425662843</v>
      </c>
      <c r="E7">
        <v>117.9570530520045</v>
      </c>
      <c r="F7">
        <v>161.04117613306951</v>
      </c>
      <c r="G7">
        <v>204.2538571026117</v>
      </c>
      <c r="H7">
        <v>241.99488790005361</v>
      </c>
      <c r="I7">
        <v>271.55741958441507</v>
      </c>
    </row>
    <row r="8" spans="1:17">
      <c r="A8" s="23"/>
      <c r="B8" t="s">
        <v>6</v>
      </c>
      <c r="C8">
        <v>18.537657732084231</v>
      </c>
      <c r="D8">
        <v>57.729400326837187</v>
      </c>
      <c r="E8">
        <v>159.24033330812691</v>
      </c>
      <c r="F8">
        <v>242.730616679538</v>
      </c>
      <c r="G8">
        <v>283.67977136671698</v>
      </c>
      <c r="H8">
        <v>308.00758580778</v>
      </c>
      <c r="I8">
        <v>343.37702781228103</v>
      </c>
    </row>
    <row r="9" spans="1:17">
      <c r="A9" s="23"/>
      <c r="B9" t="s">
        <v>5</v>
      </c>
      <c r="C9">
        <v>22.08049162082111</v>
      </c>
      <c r="D9">
        <v>59.545169573052718</v>
      </c>
      <c r="E9">
        <v>148.12266465473789</v>
      </c>
      <c r="F9">
        <v>217.63908954790631</v>
      </c>
      <c r="G9">
        <v>272.96547701049121</v>
      </c>
      <c r="H9">
        <v>325.08832999869998</v>
      </c>
      <c r="I9">
        <v>362.55040145787598</v>
      </c>
    </row>
    <row r="10" spans="1:17">
      <c r="A10" s="23" t="s">
        <v>33</v>
      </c>
      <c r="B10" s="7" t="s">
        <v>36</v>
      </c>
      <c r="C10">
        <v>14.78042260432105</v>
      </c>
      <c r="D10">
        <v>34.11957952625805</v>
      </c>
      <c r="E10">
        <v>74.305860975121817</v>
      </c>
      <c r="F10">
        <v>104.18810468318721</v>
      </c>
      <c r="G10">
        <v>133.90321390128821</v>
      </c>
      <c r="H10">
        <v>161.74331828467601</v>
      </c>
      <c r="I10">
        <v>182.42176450753871</v>
      </c>
      <c r="K10">
        <f t="shared" ref="K10:Q10" si="0">AVERAGE(C10:C13)</f>
        <v>17.247832760823048</v>
      </c>
      <c r="L10">
        <f t="shared" si="0"/>
        <v>48.144230620562411</v>
      </c>
      <c r="M10">
        <f t="shared" si="0"/>
        <v>124.40971086108009</v>
      </c>
      <c r="N10">
        <f t="shared" si="0"/>
        <v>177.81982531609361</v>
      </c>
      <c r="O10">
        <f t="shared" si="0"/>
        <v>224.01414239092003</v>
      </c>
      <c r="P10">
        <f t="shared" si="0"/>
        <v>268.56703294839679</v>
      </c>
      <c r="Q10">
        <f t="shared" si="0"/>
        <v>305.40240669259043</v>
      </c>
    </row>
    <row r="11" spans="1:17">
      <c r="A11" s="23"/>
      <c r="B11" s="7" t="s">
        <v>24</v>
      </c>
      <c r="C11">
        <v>16.633271374945512</v>
      </c>
      <c r="D11">
        <v>48.911833158948554</v>
      </c>
      <c r="E11">
        <v>122.752987771942</v>
      </c>
      <c r="F11">
        <v>167.77872087856639</v>
      </c>
      <c r="G11">
        <v>200.42524068618181</v>
      </c>
      <c r="H11">
        <v>246.46450594218541</v>
      </c>
      <c r="I11">
        <v>290.69522085583333</v>
      </c>
    </row>
    <row r="12" spans="1:17">
      <c r="A12" s="23"/>
      <c r="B12" s="7" t="s">
        <v>6</v>
      </c>
      <c r="C12">
        <v>19.34710153256707</v>
      </c>
      <c r="D12">
        <v>57.760323559847947</v>
      </c>
      <c r="E12">
        <v>163.67073671036451</v>
      </c>
      <c r="F12">
        <v>236.8583637737342</v>
      </c>
      <c r="G12">
        <v>304.36238006156111</v>
      </c>
      <c r="H12">
        <v>358.85009314938151</v>
      </c>
      <c r="I12">
        <v>398.480511885613</v>
      </c>
    </row>
    <row r="13" spans="1:17">
      <c r="A13" s="23"/>
      <c r="B13" s="7" t="s">
        <v>5</v>
      </c>
      <c r="C13">
        <v>18.23053553145856</v>
      </c>
      <c r="D13">
        <v>51.785186237195077</v>
      </c>
      <c r="E13">
        <v>136.90925798689199</v>
      </c>
      <c r="F13">
        <v>202.4541119288867</v>
      </c>
      <c r="G13">
        <v>257.36573491464901</v>
      </c>
      <c r="H13">
        <v>307.2102144173441</v>
      </c>
      <c r="I13">
        <v>350.01212952137661</v>
      </c>
    </row>
    <row r="14" spans="1:17">
      <c r="A14" s="23" t="s">
        <v>34</v>
      </c>
      <c r="B14" t="s">
        <v>36</v>
      </c>
      <c r="C14">
        <v>21.010926530371961</v>
      </c>
      <c r="D14">
        <v>32.630492210303871</v>
      </c>
      <c r="E14">
        <v>68.291781895178644</v>
      </c>
      <c r="F14">
        <v>98.446876747382944</v>
      </c>
      <c r="G14">
        <v>123.6294182462329</v>
      </c>
      <c r="H14">
        <v>157.4015137098198</v>
      </c>
      <c r="I14">
        <v>181.23048701913211</v>
      </c>
      <c r="K14">
        <f t="shared" ref="K14:Q14" si="1">AVERAGE(C14:C17)</f>
        <v>18.183331553146527</v>
      </c>
      <c r="L14">
        <f t="shared" si="1"/>
        <v>52.412017851107443</v>
      </c>
      <c r="M14">
        <f t="shared" si="1"/>
        <v>123.2409083684779</v>
      </c>
      <c r="N14">
        <f t="shared" si="1"/>
        <v>178.175302237457</v>
      </c>
      <c r="O14">
        <f t="shared" si="1"/>
        <v>219.5514540113891</v>
      </c>
      <c r="P14">
        <f t="shared" si="1"/>
        <v>259.80040390438978</v>
      </c>
      <c r="Q14">
        <f t="shared" si="1"/>
        <v>316.01930022588533</v>
      </c>
    </row>
    <row r="15" spans="1:17">
      <c r="A15" s="23"/>
      <c r="B15" t="s">
        <v>24</v>
      </c>
      <c r="C15">
        <v>14.054573230371449</v>
      </c>
      <c r="D15">
        <v>50.858927298502479</v>
      </c>
      <c r="E15">
        <v>131.15412640645559</v>
      </c>
      <c r="F15">
        <v>181.85526243060511</v>
      </c>
      <c r="G15">
        <v>207.5754101617608</v>
      </c>
      <c r="H15">
        <v>236.46593724473851</v>
      </c>
      <c r="I15">
        <v>306.62458359274513</v>
      </c>
    </row>
    <row r="16" spans="1:17">
      <c r="A16" s="23"/>
      <c r="B16" t="s">
        <v>6</v>
      </c>
      <c r="C16">
        <v>15.44939092861199</v>
      </c>
      <c r="D16">
        <v>71.197497924185555</v>
      </c>
      <c r="E16">
        <v>157.89102983363179</v>
      </c>
      <c r="F16">
        <v>229.59136730570251</v>
      </c>
      <c r="G16">
        <v>289.03567435544142</v>
      </c>
      <c r="H16">
        <v>349.15834505750098</v>
      </c>
      <c r="I16">
        <v>404.6989685952301</v>
      </c>
    </row>
    <row r="17" spans="1:17">
      <c r="A17" s="23"/>
      <c r="B17" t="s">
        <v>5</v>
      </c>
      <c r="C17">
        <v>22.21843552323071</v>
      </c>
      <c r="D17">
        <v>54.961153971437888</v>
      </c>
      <c r="E17">
        <v>135.62669533864559</v>
      </c>
      <c r="F17">
        <v>202.8077024661375</v>
      </c>
      <c r="G17">
        <v>257.9653132821212</v>
      </c>
      <c r="H17">
        <v>296.17581960549978</v>
      </c>
      <c r="I17">
        <v>371.5231616964341</v>
      </c>
    </row>
    <row r="18" spans="1:17">
      <c r="A18" s="23" t="s">
        <v>35</v>
      </c>
      <c r="B18" s="7" t="s">
        <v>36</v>
      </c>
      <c r="C18">
        <v>12.083932413909221</v>
      </c>
      <c r="D18">
        <v>30.608602773853551</v>
      </c>
      <c r="E18">
        <v>75.555571834504093</v>
      </c>
      <c r="F18">
        <v>98.029029573098796</v>
      </c>
      <c r="G18">
        <v>117.80734181293001</v>
      </c>
      <c r="H18">
        <v>138.982376394093</v>
      </c>
      <c r="I18">
        <v>195.00788755930401</v>
      </c>
      <c r="K18">
        <f t="shared" ref="K18:P18" si="2">AVERAGE(C18:C21)</f>
        <v>18.727550103338594</v>
      </c>
      <c r="L18">
        <f t="shared" si="2"/>
        <v>46.023669722986412</v>
      </c>
      <c r="M18">
        <f t="shared" si="2"/>
        <v>117.7994594108321</v>
      </c>
      <c r="N18">
        <f t="shared" si="2"/>
        <v>171.92856789284909</v>
      </c>
      <c r="O18">
        <f t="shared" si="2"/>
        <v>215.13187636830688</v>
      </c>
      <c r="P18">
        <f t="shared" si="2"/>
        <v>255.70518796025624</v>
      </c>
      <c r="Q18">
        <f t="shared" ref="Q18" si="3">AVERAGE(I18:I21)</f>
        <v>296.62093866572923</v>
      </c>
    </row>
    <row r="19" spans="1:17">
      <c r="A19" s="23"/>
      <c r="B19" s="7" t="s">
        <v>24</v>
      </c>
      <c r="C19">
        <v>23.003469478323399</v>
      </c>
      <c r="D19">
        <v>41.000228604845191</v>
      </c>
      <c r="E19">
        <v>92.743024951884465</v>
      </c>
      <c r="F19">
        <v>139.93950047527341</v>
      </c>
      <c r="G19">
        <v>200.1829413502511</v>
      </c>
      <c r="H19">
        <v>250.03156755959711</v>
      </c>
      <c r="I19">
        <v>283.76092262181339</v>
      </c>
    </row>
    <row r="20" spans="1:17">
      <c r="A20" s="23"/>
      <c r="B20" s="7" t="s">
        <v>6</v>
      </c>
      <c r="C20">
        <v>18.045621525742</v>
      </c>
      <c r="D20">
        <v>53.4869490323997</v>
      </c>
      <c r="E20">
        <v>152.91656768543299</v>
      </c>
      <c r="F20">
        <v>227.58054449683399</v>
      </c>
      <c r="G20">
        <v>266.22964716164398</v>
      </c>
      <c r="H20">
        <v>312.506379671351</v>
      </c>
      <c r="I20">
        <v>341.54547065338301</v>
      </c>
    </row>
    <row r="21" spans="1:17">
      <c r="A21" s="23"/>
      <c r="B21" s="7" t="s">
        <v>5</v>
      </c>
      <c r="C21">
        <v>21.777176995379751</v>
      </c>
      <c r="D21">
        <v>58.998898480847217</v>
      </c>
      <c r="E21">
        <v>149.98267317150689</v>
      </c>
      <c r="F21">
        <v>222.16519702619021</v>
      </c>
      <c r="G21">
        <v>276.30757514840241</v>
      </c>
      <c r="H21">
        <v>321.30042821598391</v>
      </c>
      <c r="I21">
        <v>366.16947382841659</v>
      </c>
    </row>
    <row r="22" spans="1:17">
      <c r="A22" s="23"/>
    </row>
    <row r="23" spans="1:17">
      <c r="A23" s="23"/>
    </row>
    <row r="24" spans="1:17">
      <c r="A24" s="23"/>
    </row>
    <row r="25" spans="1:17">
      <c r="A25" s="23"/>
    </row>
    <row r="26" spans="1:17">
      <c r="A26" s="23"/>
    </row>
    <row r="27" spans="1:17">
      <c r="A27" s="23"/>
    </row>
    <row r="28" spans="1:17">
      <c r="A28" s="23"/>
    </row>
    <row r="29" spans="1:17">
      <c r="A29" s="23"/>
    </row>
    <row r="30" spans="1:17">
      <c r="A30" s="23"/>
    </row>
    <row r="31" spans="1:17">
      <c r="A31" s="23"/>
    </row>
    <row r="32" spans="1:17">
      <c r="A32" s="23"/>
    </row>
    <row r="33" spans="1:1">
      <c r="A33" s="23"/>
    </row>
    <row r="34" spans="1:1">
      <c r="A34" s="23"/>
    </row>
    <row r="35" spans="1:1">
      <c r="A35" s="23"/>
    </row>
    <row r="36" spans="1:1">
      <c r="A36" s="23"/>
    </row>
    <row r="37" spans="1:1">
      <c r="A37" s="23"/>
    </row>
    <row r="38" spans="1:1">
      <c r="A38" s="23"/>
    </row>
    <row r="39" spans="1:1">
      <c r="A39" s="23"/>
    </row>
    <row r="40" spans="1:1">
      <c r="A40" s="23"/>
    </row>
    <row r="41" spans="1:1">
      <c r="A41" s="23"/>
    </row>
    <row r="42" spans="1:1">
      <c r="A42" s="23"/>
    </row>
    <row r="43" spans="1:1">
      <c r="A43" s="23"/>
    </row>
    <row r="44" spans="1:1">
      <c r="A44" s="23"/>
    </row>
    <row r="45" spans="1:1">
      <c r="A45" s="23"/>
    </row>
    <row r="46" spans="1:1">
      <c r="A46" s="23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</sheetData>
  <mergeCells count="10">
    <mergeCell ref="A2:A5"/>
    <mergeCell ref="A6:A9"/>
    <mergeCell ref="A10:A13"/>
    <mergeCell ref="A14:A17"/>
    <mergeCell ref="A18:A21"/>
    <mergeCell ref="A22:A26"/>
    <mergeCell ref="A27:A31"/>
    <mergeCell ref="A32:A36"/>
    <mergeCell ref="A37:A41"/>
    <mergeCell ref="A42:A46"/>
  </mergeCells>
  <phoneticPr fontId="5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9FCB-12B9-4DFE-AFED-E5625D3C2C97}">
  <dimension ref="A1:W36"/>
  <sheetViews>
    <sheetView topLeftCell="G4" zoomScale="115" zoomScaleNormal="115" workbookViewId="0">
      <selection activeCell="I39" sqref="I39"/>
    </sheetView>
  </sheetViews>
  <sheetFormatPr defaultRowHeight="14.5"/>
  <cols>
    <col min="3" max="3" width="21.26953125" customWidth="1"/>
    <col min="4" max="4" width="31.7265625" customWidth="1"/>
    <col min="5" max="5" width="28.26953125" customWidth="1"/>
    <col min="6" max="6" width="28.81640625" customWidth="1"/>
    <col min="7" max="7" width="25.81640625" customWidth="1"/>
    <col min="8" max="8" width="28.54296875" customWidth="1"/>
    <col min="10" max="10" width="15.08984375" customWidth="1"/>
  </cols>
  <sheetData>
    <row r="1" spans="1:23" ht="29">
      <c r="A1" s="24" t="s">
        <v>20</v>
      </c>
      <c r="B1" s="1"/>
      <c r="C1" s="2" t="s">
        <v>4</v>
      </c>
      <c r="D1" s="1"/>
      <c r="E1" s="3" t="s">
        <v>2</v>
      </c>
      <c r="F1" s="5" t="s">
        <v>30</v>
      </c>
      <c r="G1" s="1"/>
      <c r="H1" s="1"/>
    </row>
    <row r="2" spans="1:23" ht="151.5" customHeight="1">
      <c r="A2" s="24"/>
      <c r="B2" s="3"/>
      <c r="C2" s="4" t="s">
        <v>0</v>
      </c>
      <c r="D2" s="3" t="s">
        <v>8</v>
      </c>
      <c r="E2" s="3" t="s">
        <v>1</v>
      </c>
      <c r="F2" s="3" t="s">
        <v>14</v>
      </c>
      <c r="G2" s="3" t="s">
        <v>3</v>
      </c>
      <c r="H2" s="3" t="s">
        <v>15</v>
      </c>
    </row>
    <row r="3" spans="1:23">
      <c r="A3" s="25" t="s">
        <v>9</v>
      </c>
      <c r="B3" t="s">
        <v>36</v>
      </c>
      <c r="C3">
        <v>25.633741093430569</v>
      </c>
      <c r="D3">
        <f>1*C3</f>
        <v>25.633741093430569</v>
      </c>
      <c r="E3">
        <f>D3</f>
        <v>25.633741093430569</v>
      </c>
      <c r="F3">
        <f>16.5*C3</f>
        <v>422.95672804160438</v>
      </c>
      <c r="G3">
        <f>F3</f>
        <v>422.95672804160438</v>
      </c>
      <c r="H3">
        <f>G3/1.002874915</f>
        <v>421.74424917349177</v>
      </c>
      <c r="K3" t="s">
        <v>21</v>
      </c>
    </row>
    <row r="4" spans="1:23">
      <c r="A4" s="25"/>
      <c r="B4" t="s">
        <v>24</v>
      </c>
      <c r="C4">
        <v>23.46033313599391</v>
      </c>
      <c r="D4">
        <f t="shared" ref="D4:D16" si="0">1*C4</f>
        <v>23.46033313599391</v>
      </c>
      <c r="E4">
        <f>D4</f>
        <v>23.46033313599391</v>
      </c>
      <c r="F4">
        <f>21.56*C4</f>
        <v>505.80478241202866</v>
      </c>
      <c r="G4">
        <f>F4</f>
        <v>505.80478241202866</v>
      </c>
      <c r="H4">
        <f>G4/1.767145868</f>
        <v>286.22695589045094</v>
      </c>
      <c r="J4" s="6" t="s">
        <v>23</v>
      </c>
      <c r="K4" s="6">
        <v>0.5</v>
      </c>
      <c r="L4" s="6">
        <v>1</v>
      </c>
      <c r="M4" s="6">
        <v>2</v>
      </c>
      <c r="N4" s="6">
        <v>3</v>
      </c>
      <c r="O4" s="6">
        <v>4</v>
      </c>
      <c r="P4" s="6">
        <v>5</v>
      </c>
      <c r="Q4" s="6">
        <v>6</v>
      </c>
    </row>
    <row r="5" spans="1:23">
      <c r="A5" s="25"/>
      <c r="B5" t="s">
        <v>6</v>
      </c>
      <c r="C5">
        <v>32.238228219280963</v>
      </c>
      <c r="D5">
        <f t="shared" si="0"/>
        <v>32.238228219280963</v>
      </c>
      <c r="E5">
        <f>D5</f>
        <v>32.238228219280963</v>
      </c>
      <c r="F5">
        <f>30.66*C5</f>
        <v>988.4240772031543</v>
      </c>
      <c r="G5">
        <f>F5</f>
        <v>988.4240772031543</v>
      </c>
      <c r="H5">
        <f>G5/3.141592654</f>
        <v>314.62515547477284</v>
      </c>
      <c r="J5" s="8"/>
      <c r="Q5" s="17"/>
    </row>
    <row r="6" spans="1:23">
      <c r="A6" s="25"/>
      <c r="B6" t="s">
        <v>5</v>
      </c>
      <c r="C6">
        <v>31.697504489323261</v>
      </c>
      <c r="D6">
        <f t="shared" si="0"/>
        <v>31.697504489323261</v>
      </c>
      <c r="E6">
        <f>D6</f>
        <v>31.697504489323261</v>
      </c>
      <c r="F6">
        <f>30.66*C6</f>
        <v>971.84548764265116</v>
      </c>
      <c r="G6">
        <f>F6</f>
        <v>971.84548764265116</v>
      </c>
      <c r="H6">
        <f>G6/3.141592654</f>
        <v>309.34802651937036</v>
      </c>
      <c r="J6" s="8" t="s">
        <v>36</v>
      </c>
      <c r="K6">
        <v>421.74424917349177</v>
      </c>
      <c r="L6">
        <v>849.16041796141019</v>
      </c>
      <c r="M6">
        <v>1581.7826488832582</v>
      </c>
      <c r="N6">
        <v>2242.18268610522</v>
      </c>
      <c r="O6">
        <v>2768.4198205393463</v>
      </c>
      <c r="P6">
        <v>3247.4242881039563</v>
      </c>
      <c r="Q6" s="17">
        <v>3808.7725736050861</v>
      </c>
    </row>
    <row r="7" spans="1:23">
      <c r="A7" s="1"/>
      <c r="J7" s="7" t="s">
        <v>24</v>
      </c>
      <c r="K7">
        <v>286.22695589045094</v>
      </c>
      <c r="L7">
        <v>726.22249436447828</v>
      </c>
      <c r="M7">
        <v>1271.4388109300462</v>
      </c>
      <c r="N7">
        <v>2090.7210161097487</v>
      </c>
      <c r="O7">
        <v>2632.9213991190259</v>
      </c>
      <c r="P7">
        <v>3215.1336872540169</v>
      </c>
      <c r="Q7" s="17">
        <v>3729.9721482664731</v>
      </c>
    </row>
    <row r="8" spans="1:23">
      <c r="A8" s="25" t="s">
        <v>10</v>
      </c>
      <c r="B8" t="s">
        <v>36</v>
      </c>
      <c r="C8">
        <v>50.058663084302012</v>
      </c>
      <c r="D8">
        <f t="shared" si="0"/>
        <v>50.058663084302012</v>
      </c>
      <c r="E8">
        <f>D8+E3</f>
        <v>75.692404177732584</v>
      </c>
      <c r="F8">
        <f>16.5*C8</f>
        <v>825.96794089098319</v>
      </c>
      <c r="G8">
        <f>F8+E3</f>
        <v>851.60168198441374</v>
      </c>
      <c r="H8">
        <f t="shared" ref="H8" si="1">G8/1.002874915</f>
        <v>849.16041796141019</v>
      </c>
      <c r="J8" s="8" t="s">
        <v>6</v>
      </c>
      <c r="K8">
        <v>314.62515547477284</v>
      </c>
      <c r="L8">
        <v>679.56435231666092</v>
      </c>
      <c r="M8">
        <v>1541.9590530404992</v>
      </c>
      <c r="N8">
        <v>2357.4342512130238</v>
      </c>
      <c r="O8">
        <v>3144.1977092365742</v>
      </c>
      <c r="P8">
        <v>3576.0254083506743</v>
      </c>
      <c r="Q8" s="17">
        <v>3978.7525007760796</v>
      </c>
    </row>
    <row r="9" spans="1:23">
      <c r="A9" s="25"/>
      <c r="B9" t="s">
        <v>24</v>
      </c>
      <c r="C9">
        <v>58.436027227683077</v>
      </c>
      <c r="D9">
        <f t="shared" si="0"/>
        <v>58.436027227683077</v>
      </c>
      <c r="E9">
        <f>D9+D4</f>
        <v>81.89636036367699</v>
      </c>
      <c r="F9">
        <f>21.56*C9</f>
        <v>1259.8807470288471</v>
      </c>
      <c r="G9">
        <f>F9+E4</f>
        <v>1283.3410801648411</v>
      </c>
      <c r="H9">
        <f t="shared" ref="H9" si="2">G9/1.767145868</f>
        <v>726.22249436447828</v>
      </c>
      <c r="J9" s="8" t="s">
        <v>5</v>
      </c>
      <c r="K9">
        <v>309.34802651937036</v>
      </c>
      <c r="L9">
        <v>648.47423272951357</v>
      </c>
      <c r="M9">
        <v>1569.1022378620551</v>
      </c>
      <c r="N9">
        <v>2250.2149177297956</v>
      </c>
      <c r="O9">
        <v>2804.2462134791722</v>
      </c>
      <c r="P9">
        <v>3545.2400900267457</v>
      </c>
      <c r="Q9" s="17">
        <v>3954.0135531439109</v>
      </c>
    </row>
    <row r="10" spans="1:23">
      <c r="A10" s="25"/>
      <c r="B10" t="s">
        <v>6</v>
      </c>
      <c r="C10">
        <v>68.580435386138575</v>
      </c>
      <c r="D10">
        <f t="shared" si="0"/>
        <v>68.580435386138575</v>
      </c>
      <c r="E10">
        <f>D10+D5</f>
        <v>100.81866360541954</v>
      </c>
      <c r="F10">
        <f>30.66*C10</f>
        <v>2102.6761489390087</v>
      </c>
      <c r="G10">
        <f>F10+E5</f>
        <v>2134.9143771582899</v>
      </c>
      <c r="H10">
        <f t="shared" ref="H10:H11" si="3">G10/3.141592654</f>
        <v>679.56435231666092</v>
      </c>
      <c r="J10" s="9" t="s">
        <v>22</v>
      </c>
      <c r="K10">
        <f t="shared" ref="K10:P10" si="4">AVERAGE(K7:K9,K6)</f>
        <v>332.98609676452145</v>
      </c>
      <c r="L10">
        <f t="shared" si="4"/>
        <v>725.85537434301568</v>
      </c>
      <c r="M10">
        <f t="shared" si="4"/>
        <v>1491.0706876789645</v>
      </c>
      <c r="N10">
        <f t="shared" si="4"/>
        <v>2235.138217789447</v>
      </c>
      <c r="O10">
        <f t="shared" si="4"/>
        <v>2837.4462855935294</v>
      </c>
      <c r="P10">
        <f t="shared" si="4"/>
        <v>3395.9558684338481</v>
      </c>
      <c r="Q10">
        <f>AVERAGE(Q7:Q9,Q6)</f>
        <v>3867.8776939478876</v>
      </c>
      <c r="T10" s="8"/>
      <c r="U10" s="7"/>
      <c r="V10" s="8"/>
      <c r="W10" s="8"/>
    </row>
    <row r="11" spans="1:23">
      <c r="A11" s="25"/>
      <c r="B11" t="s">
        <v>5</v>
      </c>
      <c r="C11">
        <v>65.412406437116857</v>
      </c>
      <c r="D11">
        <f t="shared" si="0"/>
        <v>65.412406437116857</v>
      </c>
      <c r="E11">
        <f>D11+D6</f>
        <v>97.109910926440122</v>
      </c>
      <c r="F11">
        <f>30.66*C11</f>
        <v>2005.5443813620029</v>
      </c>
      <c r="G11">
        <f>F11+E6</f>
        <v>2037.2418858513263</v>
      </c>
      <c r="H11">
        <f t="shared" si="3"/>
        <v>648.47423272951357</v>
      </c>
      <c r="J11" s="9" t="s">
        <v>26</v>
      </c>
      <c r="K11">
        <f t="shared" ref="K11:P11" si="5">_xlfn.STDEV.P(K7:K9,K6)</f>
        <v>52.345748166148894</v>
      </c>
      <c r="L11">
        <f t="shared" si="5"/>
        <v>76.378937470512852</v>
      </c>
      <c r="M11">
        <f t="shared" si="5"/>
        <v>127.61795498961592</v>
      </c>
      <c r="N11">
        <f t="shared" si="5"/>
        <v>94.986287624949469</v>
      </c>
      <c r="O11">
        <f t="shared" si="5"/>
        <v>188.27756289632478</v>
      </c>
      <c r="P11">
        <f t="shared" si="5"/>
        <v>165.43058180425834</v>
      </c>
      <c r="Q11">
        <f>_xlfn.STDEV.P(Q7:Q9,Q6)</f>
        <v>102.74235228114523</v>
      </c>
    </row>
    <row r="12" spans="1:23">
      <c r="A12" s="1"/>
    </row>
    <row r="13" spans="1:23">
      <c r="A13" s="25" t="s">
        <v>11</v>
      </c>
      <c r="B13" t="s">
        <v>36</v>
      </c>
      <c r="C13">
        <v>91.553802143608465</v>
      </c>
      <c r="D13">
        <f>1*C13</f>
        <v>91.553802143608465</v>
      </c>
      <c r="E13">
        <f>D13+E8</f>
        <v>167.24620632134105</v>
      </c>
      <c r="F13">
        <f t="shared" ref="F13" si="6">16.5*C13</f>
        <v>1510.6377353695398</v>
      </c>
      <c r="G13">
        <f>F13+E8</f>
        <v>1586.3301395472724</v>
      </c>
      <c r="H13">
        <f t="shared" ref="H13" si="7">G13/1.002874915</f>
        <v>1581.7826488832582</v>
      </c>
    </row>
    <row r="14" spans="1:23">
      <c r="A14" s="25"/>
      <c r="B14" t="s">
        <v>24</v>
      </c>
      <c r="C14">
        <v>100.41379781012</v>
      </c>
      <c r="D14">
        <f>1*C14</f>
        <v>100.41379781012</v>
      </c>
      <c r="E14">
        <f>D14+D9</f>
        <v>158.84982503780307</v>
      </c>
      <c r="F14">
        <f t="shared" ref="F14" si="8">21.56*C14</f>
        <v>2164.9214807861872</v>
      </c>
      <c r="G14">
        <f>F14+E9</f>
        <v>2246.8178411498643</v>
      </c>
      <c r="H14">
        <f t="shared" ref="H14" si="9">G14/1.767145868</f>
        <v>1271.4388109300462</v>
      </c>
    </row>
    <row r="15" spans="1:23">
      <c r="A15" s="25"/>
      <c r="B15" t="s">
        <v>6</v>
      </c>
      <c r="C15">
        <v>154.70934671217901</v>
      </c>
      <c r="D15">
        <f t="shared" si="0"/>
        <v>154.70934671217901</v>
      </c>
      <c r="E15">
        <f>D15+D10</f>
        <v>223.28978209831757</v>
      </c>
      <c r="F15">
        <f t="shared" ref="F15:F16" si="10">30.66*C15</f>
        <v>4743.3885701954086</v>
      </c>
      <c r="G15">
        <f>F15+E10</f>
        <v>4844.2072338008284</v>
      </c>
      <c r="H15">
        <f t="shared" ref="H15:H16" si="11">G15/3.141592654</f>
        <v>1541.9590530404992</v>
      </c>
    </row>
    <row r="16" spans="1:23">
      <c r="A16" s="25"/>
      <c r="B16" t="s">
        <v>5</v>
      </c>
      <c r="C16">
        <v>157.61155097573231</v>
      </c>
      <c r="D16">
        <f t="shared" si="0"/>
        <v>157.61155097573231</v>
      </c>
      <c r="E16">
        <f>D16+D11</f>
        <v>223.02395741284917</v>
      </c>
      <c r="F16">
        <f t="shared" si="10"/>
        <v>4832.3701529159525</v>
      </c>
      <c r="G16">
        <f>F16+E11</f>
        <v>4929.4800638423931</v>
      </c>
      <c r="H16">
        <f t="shared" si="11"/>
        <v>1569.1022378620551</v>
      </c>
    </row>
    <row r="17" spans="1:23">
      <c r="A17" s="1"/>
      <c r="T17" s="17"/>
      <c r="U17" s="17"/>
      <c r="V17" s="17"/>
      <c r="W17" s="17"/>
    </row>
    <row r="18" spans="1:23">
      <c r="A18" s="24" t="s">
        <v>16</v>
      </c>
      <c r="B18" t="s">
        <v>36</v>
      </c>
      <c r="C18">
        <v>126.1443978436911</v>
      </c>
      <c r="D18">
        <f t="shared" ref="D18:D36" si="12">1*C18</f>
        <v>126.1443978436911</v>
      </c>
      <c r="E18">
        <f>D18+E13</f>
        <v>293.39060416503213</v>
      </c>
      <c r="F18">
        <f t="shared" ref="F18" si="13">16.5*C18</f>
        <v>2081.3825644209032</v>
      </c>
      <c r="G18">
        <f>F18+E13</f>
        <v>2248.6287707422443</v>
      </c>
      <c r="H18">
        <f t="shared" ref="H18" si="14">G18/1.002874915</f>
        <v>2242.18268610522</v>
      </c>
    </row>
    <row r="19" spans="1:23">
      <c r="A19" s="24"/>
      <c r="B19" t="s">
        <v>24</v>
      </c>
      <c r="C19">
        <v>163.996251378539</v>
      </c>
      <c r="D19">
        <f t="shared" si="12"/>
        <v>163.996251378539</v>
      </c>
      <c r="E19">
        <f>D19+D14</f>
        <v>264.410049188659</v>
      </c>
      <c r="F19">
        <f t="shared" ref="F19" si="15">21.56*C19</f>
        <v>3535.7591797213008</v>
      </c>
      <c r="G19">
        <f>F19+E14</f>
        <v>3694.6090047591038</v>
      </c>
      <c r="H19">
        <f t="shared" ref="H19" si="16">G19/1.767145868</f>
        <v>2090.7210161097487</v>
      </c>
    </row>
    <row r="20" spans="1:23">
      <c r="A20" s="24"/>
      <c r="B20" t="s">
        <v>6</v>
      </c>
      <c r="C20">
        <v>234.2729401109103</v>
      </c>
      <c r="D20">
        <f t="shared" si="12"/>
        <v>234.2729401109103</v>
      </c>
      <c r="E20">
        <f>D20+D15</f>
        <v>388.98228682308934</v>
      </c>
      <c r="F20">
        <f t="shared" ref="F20:F21" si="17">30.66*C20</f>
        <v>7182.8083438005096</v>
      </c>
      <c r="G20">
        <f>F20+E15</f>
        <v>7406.0981258988268</v>
      </c>
      <c r="H20">
        <f t="shared" ref="H20:H21" si="18">G20/3.141592654</f>
        <v>2357.4342512130238</v>
      </c>
    </row>
    <row r="21" spans="1:23">
      <c r="A21" s="24"/>
      <c r="B21" t="s">
        <v>5</v>
      </c>
      <c r="C21">
        <v>223.29532609420389</v>
      </c>
      <c r="D21">
        <f t="shared" si="12"/>
        <v>223.29532609420389</v>
      </c>
      <c r="E21">
        <f>D21+D16</f>
        <v>380.90687706993617</v>
      </c>
      <c r="F21">
        <f t="shared" si="17"/>
        <v>6846.2346980482916</v>
      </c>
      <c r="G21">
        <f>F21+E16</f>
        <v>7069.2586554611407</v>
      </c>
      <c r="H21">
        <f t="shared" si="18"/>
        <v>2250.2149177297956</v>
      </c>
    </row>
    <row r="22" spans="1:23">
      <c r="A22" s="1"/>
      <c r="T22" t="s">
        <v>22</v>
      </c>
      <c r="U22" t="s">
        <v>26</v>
      </c>
    </row>
    <row r="23" spans="1:23">
      <c r="A23" s="24" t="s">
        <v>17</v>
      </c>
      <c r="B23" t="s">
        <v>36</v>
      </c>
      <c r="C23">
        <v>150.48413260864729</v>
      </c>
      <c r="D23">
        <f t="shared" ref="D23:D24" si="19">1*C23</f>
        <v>150.48413260864729</v>
      </c>
      <c r="E23">
        <f>D23+E18</f>
        <v>443.87473677367939</v>
      </c>
      <c r="F23">
        <f t="shared" ref="F23" si="20">16.5*C23</f>
        <v>2482.9881880426801</v>
      </c>
      <c r="G23">
        <f>F23+E18</f>
        <v>2776.3787922077122</v>
      </c>
      <c r="H23">
        <f>G23/1.002874915</f>
        <v>2768.4198205393463</v>
      </c>
      <c r="T23">
        <v>332.98609676452145</v>
      </c>
      <c r="U23">
        <v>52.345748166148894</v>
      </c>
    </row>
    <row r="24" spans="1:23">
      <c r="A24" s="24"/>
      <c r="B24" t="s">
        <v>24</v>
      </c>
      <c r="C24">
        <v>203.54110027983799</v>
      </c>
      <c r="D24">
        <f t="shared" si="19"/>
        <v>203.54110027983799</v>
      </c>
      <c r="E24">
        <f>D24+D19</f>
        <v>367.53735165837702</v>
      </c>
      <c r="F24">
        <f t="shared" ref="F24" si="21">21.56*C24</f>
        <v>4388.3461220333065</v>
      </c>
      <c r="G24">
        <f>F24+E19</f>
        <v>4652.7561712219658</v>
      </c>
      <c r="H24">
        <f>G24/1.767145868</f>
        <v>2632.9213991190259</v>
      </c>
      <c r="T24">
        <v>725.85537434301568</v>
      </c>
      <c r="U24">
        <v>76.378937470512852</v>
      </c>
    </row>
    <row r="25" spans="1:23">
      <c r="A25" s="24"/>
      <c r="B25" t="s">
        <v>6</v>
      </c>
      <c r="C25">
        <v>309.48487081663927</v>
      </c>
      <c r="D25">
        <f t="shared" si="12"/>
        <v>309.48487081663927</v>
      </c>
      <c r="E25">
        <f>D25+D20</f>
        <v>543.7578109275496</v>
      </c>
      <c r="F25">
        <f t="shared" ref="F25:F26" si="22">30.66*C25</f>
        <v>9488.8061392381605</v>
      </c>
      <c r="G25">
        <f>F25+E20</f>
        <v>9877.78842606125</v>
      </c>
      <c r="H25">
        <f>G25/3.141592654</f>
        <v>3144.1977092365742</v>
      </c>
      <c r="T25">
        <v>1491.0706876789645</v>
      </c>
      <c r="U25">
        <v>127.61795498961592</v>
      </c>
    </row>
    <row r="26" spans="1:23">
      <c r="A26" s="24"/>
      <c r="B26" t="s">
        <v>5</v>
      </c>
      <c r="C26">
        <v>274.91495196358602</v>
      </c>
      <c r="D26">
        <f t="shared" si="12"/>
        <v>274.91495196358602</v>
      </c>
      <c r="E26">
        <f>D26+D21</f>
        <v>498.21027805778988</v>
      </c>
      <c r="F26">
        <f t="shared" si="22"/>
        <v>8428.8924272035474</v>
      </c>
      <c r="G26">
        <f>F26+E21</f>
        <v>8809.7993042734834</v>
      </c>
      <c r="H26">
        <f>G26/3.141592654</f>
        <v>2804.2462134791722</v>
      </c>
      <c r="T26">
        <v>2235.138217789447</v>
      </c>
      <c r="U26">
        <v>94.986287624949469</v>
      </c>
    </row>
    <row r="27" spans="1:23">
      <c r="A27" s="1"/>
      <c r="T27">
        <v>2837.4462855935294</v>
      </c>
      <c r="U27">
        <v>188.27756289632478</v>
      </c>
    </row>
    <row r="28" spans="1:23">
      <c r="A28" s="24" t="s">
        <v>18</v>
      </c>
      <c r="B28" t="s">
        <v>36</v>
      </c>
      <c r="C28">
        <v>170.4779163713643</v>
      </c>
      <c r="D28">
        <f t="shared" ref="D28" si="23">1*C28</f>
        <v>170.4779163713643</v>
      </c>
      <c r="E28">
        <f>D28+E23</f>
        <v>614.35265314504363</v>
      </c>
      <c r="F28">
        <f t="shared" ref="F28" si="24">16.5*C28</f>
        <v>2812.8856201275112</v>
      </c>
      <c r="G28">
        <f>F28+E23</f>
        <v>3256.7603569011908</v>
      </c>
      <c r="H28">
        <f t="shared" ref="H28" si="25">G28/1.002874915</f>
        <v>3247.4242881039563</v>
      </c>
      <c r="J28" s="11" t="s">
        <v>27</v>
      </c>
      <c r="K28" s="6" t="s">
        <v>23</v>
      </c>
      <c r="L28" s="15" t="s">
        <v>13</v>
      </c>
      <c r="M28" s="15" t="s">
        <v>12</v>
      </c>
      <c r="N28" s="14" t="s">
        <v>24</v>
      </c>
      <c r="O28" s="13" t="s">
        <v>6</v>
      </c>
      <c r="P28" s="13" t="s">
        <v>5</v>
      </c>
      <c r="Q28" s="16" t="s">
        <v>22</v>
      </c>
      <c r="R28" s="16" t="s">
        <v>28</v>
      </c>
      <c r="T28">
        <v>3395.9558684338481</v>
      </c>
      <c r="U28">
        <v>165.43058180425834</v>
      </c>
    </row>
    <row r="29" spans="1:23">
      <c r="A29" s="24"/>
      <c r="B29" t="s">
        <v>24</v>
      </c>
      <c r="C29">
        <v>246.47833297032301</v>
      </c>
      <c r="D29">
        <f>1*C29</f>
        <v>246.47833297032301</v>
      </c>
      <c r="E29">
        <f>D29+D24</f>
        <v>450.019433250161</v>
      </c>
      <c r="F29">
        <f t="shared" ref="F29" si="26">21.56*C29</f>
        <v>5314.0728588401635</v>
      </c>
      <c r="G29">
        <f>F29+E24</f>
        <v>5681.6102104985403</v>
      </c>
      <c r="H29">
        <f t="shared" ref="H29" si="27">G29/1.767145868</f>
        <v>3215.1336872540169</v>
      </c>
      <c r="J29" s="12">
        <v>0.70710678118654802</v>
      </c>
      <c r="K29" s="6">
        <v>0.5</v>
      </c>
      <c r="M29">
        <v>421.74424917349177</v>
      </c>
      <c r="N29">
        <v>286.22695589045094</v>
      </c>
      <c r="O29">
        <v>314.62515547477284</v>
      </c>
      <c r="P29">
        <v>309.34802651937036</v>
      </c>
      <c r="Q29">
        <f t="shared" ref="Q29:Q34" si="28">AVERAGE(N29:P29,M29)</f>
        <v>332.98609676452145</v>
      </c>
      <c r="R29">
        <f t="shared" ref="R29:R34" si="29">_xlfn.STDEV.P(N29:P29,M29)</f>
        <v>52.345748166148894</v>
      </c>
      <c r="T29">
        <v>3867.8776939478876</v>
      </c>
      <c r="U29">
        <v>102.74235228114523</v>
      </c>
    </row>
    <row r="30" spans="1:23">
      <c r="A30" s="24"/>
      <c r="B30" t="s">
        <v>6</v>
      </c>
      <c r="C30">
        <v>348.68419251351202</v>
      </c>
      <c r="D30">
        <f t="shared" si="12"/>
        <v>348.68419251351202</v>
      </c>
      <c r="E30">
        <f>D30+D25</f>
        <v>658.16906333015129</v>
      </c>
      <c r="F30">
        <f t="shared" ref="F30:F31" si="30">30.66*C30</f>
        <v>10690.657342464279</v>
      </c>
      <c r="G30">
        <f>F30+E25</f>
        <v>11234.415153391828</v>
      </c>
      <c r="H30">
        <f t="shared" ref="H30:H31" si="31">G30/3.141592654</f>
        <v>3576.0254083506743</v>
      </c>
      <c r="J30" s="12">
        <v>1</v>
      </c>
      <c r="K30" s="6">
        <v>1</v>
      </c>
      <c r="M30">
        <v>849.16041796141019</v>
      </c>
      <c r="N30">
        <v>726.22249436447828</v>
      </c>
      <c r="O30">
        <v>679.56435231666092</v>
      </c>
      <c r="P30">
        <v>648.47423272951357</v>
      </c>
      <c r="Q30">
        <f t="shared" si="28"/>
        <v>725.85537434301568</v>
      </c>
      <c r="R30">
        <f t="shared" si="29"/>
        <v>76.378937470512852</v>
      </c>
    </row>
    <row r="31" spans="1:23">
      <c r="A31" s="24"/>
      <c r="B31" t="s">
        <v>5</v>
      </c>
      <c r="C31">
        <v>347.01532763980867</v>
      </c>
      <c r="D31">
        <f t="shared" si="12"/>
        <v>347.01532763980867</v>
      </c>
      <c r="E31">
        <f>D31+D26</f>
        <v>621.93027960339464</v>
      </c>
      <c r="F31">
        <f t="shared" si="30"/>
        <v>10639.489945436533</v>
      </c>
      <c r="G31">
        <f>F31+E26</f>
        <v>11137.700223494323</v>
      </c>
      <c r="H31">
        <f t="shared" si="31"/>
        <v>3545.2400900267457</v>
      </c>
      <c r="J31" s="12">
        <v>1.4142135623730951</v>
      </c>
      <c r="K31" s="6">
        <v>2</v>
      </c>
      <c r="M31">
        <v>1581.7826488832582</v>
      </c>
      <c r="N31">
        <v>1271.4388109300462</v>
      </c>
      <c r="O31">
        <v>1541.9590530404992</v>
      </c>
      <c r="P31">
        <v>1569.1022378620551</v>
      </c>
      <c r="Q31">
        <f t="shared" si="28"/>
        <v>1491.0706876789645</v>
      </c>
      <c r="R31">
        <f t="shared" si="29"/>
        <v>127.61795498961592</v>
      </c>
    </row>
    <row r="32" spans="1:23">
      <c r="A32" s="1"/>
      <c r="J32" s="12">
        <v>1.7320508075688772</v>
      </c>
      <c r="K32" s="6">
        <v>3</v>
      </c>
      <c r="M32">
        <v>2242.18268610522</v>
      </c>
      <c r="N32">
        <v>2090.7210161097487</v>
      </c>
      <c r="O32">
        <v>2357.4342512130238</v>
      </c>
      <c r="P32">
        <v>2250.2149177297956</v>
      </c>
      <c r="Q32">
        <f t="shared" si="28"/>
        <v>2235.138217789447</v>
      </c>
      <c r="R32">
        <f t="shared" si="29"/>
        <v>94.986287624949469</v>
      </c>
    </row>
    <row r="33" spans="1:18">
      <c r="A33" s="24" t="s">
        <v>19</v>
      </c>
      <c r="B33" t="s">
        <v>36</v>
      </c>
      <c r="C33">
        <v>194.264837446272</v>
      </c>
      <c r="D33">
        <f t="shared" ref="D33" si="32">1*C33</f>
        <v>194.264837446272</v>
      </c>
      <c r="E33">
        <f>D33+E28</f>
        <v>808.61749059131557</v>
      </c>
      <c r="F33">
        <f t="shared" ref="F33" si="33">16.5*C33</f>
        <v>3205.3698178634882</v>
      </c>
      <c r="G33">
        <f>F33+E28</f>
        <v>3819.722471008532</v>
      </c>
      <c r="H33">
        <f t="shared" ref="H33" si="34">G33/1.002874915</f>
        <v>3808.7725736050861</v>
      </c>
      <c r="J33" s="12">
        <v>2</v>
      </c>
      <c r="K33" s="6">
        <v>4</v>
      </c>
      <c r="M33">
        <v>2768.4198205393463</v>
      </c>
      <c r="N33">
        <v>2632.9213991190259</v>
      </c>
      <c r="O33">
        <v>3144.1977092365742</v>
      </c>
      <c r="P33">
        <v>2804.2462134791722</v>
      </c>
      <c r="Q33">
        <f t="shared" si="28"/>
        <v>2837.4462855935294</v>
      </c>
      <c r="R33">
        <f t="shared" si="29"/>
        <v>188.27756289632478</v>
      </c>
    </row>
    <row r="34" spans="1:18">
      <c r="A34" s="24"/>
      <c r="B34" t="s">
        <v>24</v>
      </c>
      <c r="C34">
        <v>284.850901498795</v>
      </c>
      <c r="D34">
        <f>1*C34</f>
        <v>284.850901498795</v>
      </c>
      <c r="E34">
        <f>D34+D29</f>
        <v>531.32923446911798</v>
      </c>
      <c r="F34">
        <f t="shared" ref="F34" si="35">21.56*C34</f>
        <v>6141.3854363140199</v>
      </c>
      <c r="G34">
        <f>F34+E29</f>
        <v>6591.4048695641814</v>
      </c>
      <c r="H34">
        <f t="shared" ref="H34" si="36">G34/1.767145868</f>
        <v>3729.9721482664731</v>
      </c>
      <c r="J34" s="12">
        <v>2.2360679774997898</v>
      </c>
      <c r="K34" s="6">
        <v>5</v>
      </c>
      <c r="M34">
        <v>3247.4242881039563</v>
      </c>
      <c r="N34">
        <v>3215.1336872540169</v>
      </c>
      <c r="O34">
        <v>3576.0254083506743</v>
      </c>
      <c r="P34">
        <v>3545.2400900267457</v>
      </c>
      <c r="Q34">
        <f t="shared" si="28"/>
        <v>3395.9558684338481</v>
      </c>
      <c r="R34">
        <f t="shared" si="29"/>
        <v>165.43058180425834</v>
      </c>
    </row>
    <row r="35" spans="1:18">
      <c r="A35" s="24"/>
      <c r="B35" t="s">
        <v>6</v>
      </c>
      <c r="C35">
        <v>386.21821804279551</v>
      </c>
      <c r="D35">
        <f t="shared" si="12"/>
        <v>386.21821804279551</v>
      </c>
      <c r="E35">
        <f>D35+D30</f>
        <v>734.90241055630759</v>
      </c>
      <c r="F35">
        <f t="shared" ref="F35:F36" si="37">30.66*C35</f>
        <v>11841.45056519211</v>
      </c>
      <c r="G35">
        <f>F35+E30</f>
        <v>12499.619628522261</v>
      </c>
      <c r="H35">
        <f t="shared" ref="H35:H36" si="38">G35/3.141592654</f>
        <v>3978.7525007760796</v>
      </c>
      <c r="J35" s="12">
        <v>2.4494897427831779</v>
      </c>
      <c r="K35" s="6">
        <v>6</v>
      </c>
      <c r="L35" s="17"/>
      <c r="M35" s="17">
        <v>3808.7725736050861</v>
      </c>
      <c r="N35" s="17">
        <v>3729.9721482664731</v>
      </c>
      <c r="O35" s="17">
        <v>3978.7525007760796</v>
      </c>
      <c r="P35" s="17">
        <v>3954.0135531439109</v>
      </c>
      <c r="Q35">
        <f>AVERAGE(N35:P35,M35)</f>
        <v>3867.8776939478876</v>
      </c>
      <c r="R35">
        <f>_xlfn.STDEV.P(N35:P35,M35)</f>
        <v>102.74235228114523</v>
      </c>
    </row>
    <row r="36" spans="1:18">
      <c r="A36" s="24"/>
      <c r="B36" t="s">
        <v>5</v>
      </c>
      <c r="C36">
        <v>384.86528547847212</v>
      </c>
      <c r="D36">
        <f t="shared" si="12"/>
        <v>384.86528547847212</v>
      </c>
      <c r="E36">
        <f>D36+D31</f>
        <v>731.88061311828073</v>
      </c>
      <c r="F36">
        <f t="shared" si="37"/>
        <v>11799.969652769954</v>
      </c>
      <c r="G36">
        <f>F36+E31</f>
        <v>12421.89993237335</v>
      </c>
      <c r="H36">
        <f t="shared" si="38"/>
        <v>3954.0135531439109</v>
      </c>
    </row>
  </sheetData>
  <mergeCells count="8">
    <mergeCell ref="A28:A31"/>
    <mergeCell ref="A33:A36"/>
    <mergeCell ref="A1:A2"/>
    <mergeCell ref="A3:A6"/>
    <mergeCell ref="A8:A11"/>
    <mergeCell ref="A13:A16"/>
    <mergeCell ref="A18:A21"/>
    <mergeCell ref="A23:A26"/>
  </mergeCells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A1F68-BCE5-4D0A-AAA6-446C216069D0}">
  <dimension ref="A1:W36"/>
  <sheetViews>
    <sheetView topLeftCell="H2" workbookViewId="0">
      <selection activeCell="Q17" sqref="Q17"/>
    </sheetView>
  </sheetViews>
  <sheetFormatPr defaultRowHeight="14.5"/>
  <cols>
    <col min="3" max="3" width="21.26953125" customWidth="1"/>
    <col min="4" max="4" width="31.7265625" customWidth="1"/>
    <col min="5" max="5" width="28.26953125" customWidth="1"/>
    <col min="6" max="6" width="28.81640625" customWidth="1"/>
    <col min="7" max="7" width="25.81640625" customWidth="1"/>
    <col min="8" max="8" width="28.54296875" customWidth="1"/>
    <col min="10" max="10" width="15.08984375" customWidth="1"/>
  </cols>
  <sheetData>
    <row r="1" spans="1:17" ht="29">
      <c r="A1" s="24" t="s">
        <v>20</v>
      </c>
      <c r="B1" s="1"/>
      <c r="C1" s="2" t="s">
        <v>4</v>
      </c>
      <c r="D1" s="1"/>
      <c r="E1" s="3" t="s">
        <v>2</v>
      </c>
      <c r="F1" s="5" t="s">
        <v>30</v>
      </c>
      <c r="G1" s="1"/>
      <c r="H1" s="1"/>
    </row>
    <row r="2" spans="1:17" ht="151.5" customHeight="1">
      <c r="A2" s="24"/>
      <c r="B2" s="3"/>
      <c r="C2" s="4" t="s">
        <v>0</v>
      </c>
      <c r="D2" s="3" t="s">
        <v>8</v>
      </c>
      <c r="E2" s="3" t="s">
        <v>1</v>
      </c>
      <c r="F2" s="3" t="s">
        <v>14</v>
      </c>
      <c r="G2" s="3" t="s">
        <v>3</v>
      </c>
      <c r="H2" s="3" t="s">
        <v>15</v>
      </c>
    </row>
    <row r="3" spans="1:17">
      <c r="A3" s="25" t="s">
        <v>9</v>
      </c>
      <c r="B3" t="s">
        <v>36</v>
      </c>
      <c r="C3">
        <v>14.07952441182664</v>
      </c>
      <c r="D3">
        <f>1*C3</f>
        <v>14.07952441182664</v>
      </c>
      <c r="E3">
        <f>D3</f>
        <v>14.07952441182664</v>
      </c>
      <c r="F3">
        <f>16.5*C3</f>
        <v>232.31215279513955</v>
      </c>
      <c r="G3">
        <f>F3</f>
        <v>232.31215279513955</v>
      </c>
      <c r="H3">
        <f>G3/1.002874915</f>
        <v>231.64618968970777</v>
      </c>
      <c r="K3" t="s">
        <v>21</v>
      </c>
    </row>
    <row r="4" spans="1:17">
      <c r="A4" s="25"/>
      <c r="B4" t="s">
        <v>24</v>
      </c>
      <c r="C4">
        <v>18.342769762835399</v>
      </c>
      <c r="D4">
        <f t="shared" ref="D4:D16" si="0">1*C4</f>
        <v>18.342769762835399</v>
      </c>
      <c r="E4">
        <f>D4</f>
        <v>18.342769762835399</v>
      </c>
      <c r="F4">
        <f>21.56*C4</f>
        <v>395.4701160867312</v>
      </c>
      <c r="G4">
        <f>F4</f>
        <v>395.4701160867312</v>
      </c>
      <c r="H4">
        <f>G4/1.767145868</f>
        <v>223.79030687167426</v>
      </c>
      <c r="J4" s="6" t="s">
        <v>23</v>
      </c>
      <c r="K4" s="6">
        <v>0.5</v>
      </c>
      <c r="L4" s="6">
        <v>1</v>
      </c>
      <c r="M4" s="6">
        <v>2</v>
      </c>
      <c r="N4" s="6">
        <v>3</v>
      </c>
      <c r="O4" s="6">
        <v>4</v>
      </c>
      <c r="P4" s="6">
        <v>5</v>
      </c>
      <c r="Q4" s="6">
        <v>6</v>
      </c>
    </row>
    <row r="5" spans="1:17">
      <c r="A5" s="25"/>
      <c r="B5" t="s">
        <v>6</v>
      </c>
      <c r="C5">
        <v>18.537657732084231</v>
      </c>
      <c r="D5">
        <f t="shared" si="0"/>
        <v>18.537657732084231</v>
      </c>
      <c r="E5">
        <f>D5</f>
        <v>18.537657732084231</v>
      </c>
      <c r="F5">
        <f>30.66*C5</f>
        <v>568.3645860657025</v>
      </c>
      <c r="G5">
        <f>F5</f>
        <v>568.3645860657025</v>
      </c>
      <c r="H5">
        <f>G5/3.141592654</f>
        <v>180.91606667784833</v>
      </c>
      <c r="J5" s="8"/>
      <c r="Q5" s="17"/>
    </row>
    <row r="6" spans="1:17">
      <c r="A6" s="25"/>
      <c r="B6" t="s">
        <v>5</v>
      </c>
      <c r="C6">
        <v>22.08049162082111</v>
      </c>
      <c r="D6">
        <f t="shared" si="0"/>
        <v>22.08049162082111</v>
      </c>
      <c r="E6">
        <f>D6</f>
        <v>22.08049162082111</v>
      </c>
      <c r="F6">
        <f>30.66*C6</f>
        <v>676.98787309437523</v>
      </c>
      <c r="G6">
        <f>F6</f>
        <v>676.98787309437523</v>
      </c>
      <c r="H6">
        <f>G6/3.141592654</f>
        <v>215.49193280433968</v>
      </c>
      <c r="J6" s="8" t="s">
        <v>36</v>
      </c>
      <c r="K6">
        <f>H3</f>
        <v>231.64618968970777</v>
      </c>
      <c r="L6">
        <f>H8</f>
        <v>534.15270481064215</v>
      </c>
      <c r="M6">
        <f>H13</f>
        <v>1096.4464199027686</v>
      </c>
      <c r="N6">
        <f>H18</f>
        <v>1644.5432808306059</v>
      </c>
      <c r="O6">
        <f>H23</f>
        <v>2095.4306778393934</v>
      </c>
      <c r="P6">
        <f>H28</f>
        <v>2567.9439183020145</v>
      </c>
      <c r="Q6" s="17">
        <f>H33</f>
        <v>2949.778837401052</v>
      </c>
    </row>
    <row r="7" spans="1:17">
      <c r="A7" s="1"/>
      <c r="J7" s="7" t="s">
        <v>24</v>
      </c>
      <c r="K7">
        <f t="shared" ref="K7:K9" si="1">H4</f>
        <v>223.79030687167426</v>
      </c>
      <c r="L7">
        <f t="shared" ref="L7:L9" si="2">H9</f>
        <v>577.45771224592886</v>
      </c>
      <c r="M7">
        <f t="shared" ref="M7:M9" si="3">H14</f>
        <v>1475.8130051489982</v>
      </c>
      <c r="N7">
        <f t="shared" ref="N7:N9" si="4">H19</f>
        <v>2057.8294620479205</v>
      </c>
      <c r="O7">
        <f t="shared" ref="O7:O9" si="5">H24</f>
        <v>2649.8725844387291</v>
      </c>
      <c r="P7">
        <f t="shared" ref="P7:P9" si="6">H29</f>
        <v>3159.1646832636211</v>
      </c>
      <c r="Q7" s="17">
        <f t="shared" ref="Q7:Q9" si="7">H34</f>
        <v>3565.6517242540694</v>
      </c>
    </row>
    <row r="8" spans="1:17">
      <c r="A8" s="25" t="s">
        <v>10</v>
      </c>
      <c r="B8" t="s">
        <v>36</v>
      </c>
      <c r="C8">
        <v>31.61265600134341</v>
      </c>
      <c r="D8">
        <f t="shared" si="0"/>
        <v>31.61265600134341</v>
      </c>
      <c r="E8">
        <f>D8+E3</f>
        <v>45.69218041317005</v>
      </c>
      <c r="F8">
        <f>16.5*C8</f>
        <v>521.60882402216623</v>
      </c>
      <c r="G8">
        <f>F8+E3</f>
        <v>535.68834843399281</v>
      </c>
      <c r="H8">
        <f t="shared" ref="H8" si="8">G8/1.002874915</f>
        <v>534.15270481064215</v>
      </c>
      <c r="J8" s="8" t="s">
        <v>6</v>
      </c>
      <c r="K8">
        <f t="shared" si="1"/>
        <v>180.91606667784833</v>
      </c>
      <c r="L8">
        <f t="shared" si="2"/>
        <v>569.30393871264516</v>
      </c>
      <c r="M8">
        <f t="shared" si="3"/>
        <v>1578.3636592645573</v>
      </c>
      <c r="N8">
        <f t="shared" si="4"/>
        <v>2437.9642062371586</v>
      </c>
      <c r="O8">
        <f t="shared" si="5"/>
        <v>2896.4903290390771</v>
      </c>
      <c r="P8">
        <f t="shared" si="6"/>
        <v>3173.5250450814142</v>
      </c>
      <c r="Q8" s="17">
        <f t="shared" si="7"/>
        <v>3539.4872138312026</v>
      </c>
    </row>
    <row r="9" spans="1:17">
      <c r="A9" s="25"/>
      <c r="B9" t="s">
        <v>24</v>
      </c>
      <c r="C9">
        <v>46.480020425662843</v>
      </c>
      <c r="D9">
        <f t="shared" si="0"/>
        <v>46.480020425662843</v>
      </c>
      <c r="E9">
        <f>D9+D4</f>
        <v>64.822790188498246</v>
      </c>
      <c r="F9">
        <f>21.56*C9</f>
        <v>1002.1092403772908</v>
      </c>
      <c r="G9">
        <f>F9+E4</f>
        <v>1020.4520101401262</v>
      </c>
      <c r="H9">
        <f t="shared" ref="H9" si="9">G9/1.767145868</f>
        <v>577.45771224592886</v>
      </c>
      <c r="J9" s="8" t="s">
        <v>5</v>
      </c>
      <c r="K9">
        <f t="shared" si="1"/>
        <v>215.49193280433968</v>
      </c>
      <c r="L9">
        <f t="shared" si="2"/>
        <v>588.15244184442804</v>
      </c>
      <c r="M9">
        <f t="shared" si="3"/>
        <v>1471.567790184977</v>
      </c>
      <c r="N9">
        <f t="shared" si="4"/>
        <v>2190.1255438085191</v>
      </c>
      <c r="O9">
        <f t="shared" si="5"/>
        <v>2780.3997021137366</v>
      </c>
      <c r="P9">
        <f t="shared" si="6"/>
        <v>3328.8251903069727</v>
      </c>
      <c r="Q9" s="17">
        <f t="shared" si="7"/>
        <v>3728.6339783081467</v>
      </c>
    </row>
    <row r="10" spans="1:17">
      <c r="A10" s="25"/>
      <c r="B10" t="s">
        <v>6</v>
      </c>
      <c r="C10">
        <v>57.729400326837187</v>
      </c>
      <c r="D10">
        <f t="shared" si="0"/>
        <v>57.729400326837187</v>
      </c>
      <c r="E10">
        <f>D10+D5</f>
        <v>76.267058058921421</v>
      </c>
      <c r="F10">
        <f>30.66*C10</f>
        <v>1769.9834140208281</v>
      </c>
      <c r="G10">
        <f>F10+E5</f>
        <v>1788.5210717529123</v>
      </c>
      <c r="H10">
        <f t="shared" ref="H10:H11" si="10">G10/3.141592654</f>
        <v>569.30393871264516</v>
      </c>
      <c r="J10" s="9" t="s">
        <v>22</v>
      </c>
      <c r="K10">
        <f t="shared" ref="K10:P10" si="11">AVERAGE(K7:K9,K6)</f>
        <v>212.96112401089252</v>
      </c>
      <c r="L10">
        <f t="shared" si="11"/>
        <v>567.26669940341105</v>
      </c>
      <c r="M10">
        <f t="shared" si="11"/>
        <v>1405.5477186253254</v>
      </c>
      <c r="N10">
        <f t="shared" si="11"/>
        <v>2082.6156232310514</v>
      </c>
      <c r="O10">
        <f t="shared" si="11"/>
        <v>2605.5483233577338</v>
      </c>
      <c r="P10">
        <f t="shared" si="11"/>
        <v>3057.3647092385058</v>
      </c>
      <c r="Q10" s="17">
        <f>AVERAGE(Q7:Q9,Q6)</f>
        <v>3445.8879384486181</v>
      </c>
    </row>
    <row r="11" spans="1:17">
      <c r="A11" s="25"/>
      <c r="B11" t="s">
        <v>5</v>
      </c>
      <c r="C11">
        <v>59.545169573052718</v>
      </c>
      <c r="D11">
        <f t="shared" si="0"/>
        <v>59.545169573052718</v>
      </c>
      <c r="E11">
        <f>D11+D6</f>
        <v>81.625661193873825</v>
      </c>
      <c r="F11">
        <f>30.66*C11</f>
        <v>1825.6548991097964</v>
      </c>
      <c r="G11">
        <f>F11+E6</f>
        <v>1847.7353907306174</v>
      </c>
      <c r="H11">
        <f t="shared" si="10"/>
        <v>588.15244184442804</v>
      </c>
      <c r="J11" s="9" t="s">
        <v>26</v>
      </c>
      <c r="K11">
        <f t="shared" ref="K11:P11" si="12">_xlfn.STDEV.P(K7:K9,K6)</f>
        <v>19.362938655334361</v>
      </c>
      <c r="L11">
        <f t="shared" si="12"/>
        <v>20.253135324943383</v>
      </c>
      <c r="M11">
        <f t="shared" si="12"/>
        <v>183.51077798727971</v>
      </c>
      <c r="N11">
        <f t="shared" si="12"/>
        <v>287.38159710975918</v>
      </c>
      <c r="O11">
        <f t="shared" si="12"/>
        <v>307.16644824602599</v>
      </c>
      <c r="P11">
        <f t="shared" si="12"/>
        <v>290.2929389933019</v>
      </c>
      <c r="Q11" s="17">
        <f>_xlfn.STDEV.P(Q7:Q9,Q6)</f>
        <v>295.45462931771317</v>
      </c>
    </row>
    <row r="12" spans="1:17">
      <c r="A12" s="1"/>
    </row>
    <row r="13" spans="1:17">
      <c r="A13" s="25" t="s">
        <v>11</v>
      </c>
      <c r="B13" t="s">
        <v>36</v>
      </c>
      <c r="C13">
        <v>63.873116954477183</v>
      </c>
      <c r="D13">
        <f>1*C13</f>
        <v>63.873116954477183</v>
      </c>
      <c r="E13">
        <f>D13+E8</f>
        <v>109.56529736764723</v>
      </c>
      <c r="F13">
        <f t="shared" ref="F13" si="13">16.5*C13</f>
        <v>1053.9064297488735</v>
      </c>
      <c r="G13">
        <f>F13+E8</f>
        <v>1099.5986101620435</v>
      </c>
      <c r="H13">
        <f t="shared" ref="H13" si="14">G13/1.002874915</f>
        <v>1096.4464199027686</v>
      </c>
    </row>
    <row r="14" spans="1:17">
      <c r="A14" s="25"/>
      <c r="B14" t="s">
        <v>24</v>
      </c>
      <c r="C14">
        <v>117.9570530520045</v>
      </c>
      <c r="D14">
        <f>1*C14</f>
        <v>117.9570530520045</v>
      </c>
      <c r="E14">
        <f>D14+D9</f>
        <v>164.43707347766735</v>
      </c>
      <c r="F14">
        <f t="shared" ref="F14" si="15">21.56*C14</f>
        <v>2543.1540638012166</v>
      </c>
      <c r="G14">
        <f>F14+E9</f>
        <v>2607.976853989715</v>
      </c>
      <c r="H14">
        <f t="shared" ref="H14" si="16">G14/1.767145868</f>
        <v>1475.8130051489982</v>
      </c>
    </row>
    <row r="15" spans="1:17">
      <c r="A15" s="25"/>
      <c r="B15" t="s">
        <v>6</v>
      </c>
      <c r="C15">
        <v>159.24033330812691</v>
      </c>
      <c r="D15">
        <f t="shared" si="0"/>
        <v>159.24033330812691</v>
      </c>
      <c r="E15">
        <f>D15+D10</f>
        <v>216.96973363496409</v>
      </c>
      <c r="F15">
        <f t="shared" ref="F15:F16" si="17">30.66*C15</f>
        <v>4882.3086192271712</v>
      </c>
      <c r="G15">
        <f>F15+E10</f>
        <v>4958.5756772860923</v>
      </c>
      <c r="H15">
        <f t="shared" ref="H15:H16" si="18">G15/3.141592654</f>
        <v>1578.3636592645573</v>
      </c>
    </row>
    <row r="16" spans="1:17">
      <c r="A16" s="25"/>
      <c r="B16" t="s">
        <v>5</v>
      </c>
      <c r="C16">
        <v>148.12266465473789</v>
      </c>
      <c r="D16">
        <f t="shared" si="0"/>
        <v>148.12266465473789</v>
      </c>
      <c r="E16">
        <f>D16+D11</f>
        <v>207.66783422779059</v>
      </c>
      <c r="F16">
        <f t="shared" si="17"/>
        <v>4541.4408983142639</v>
      </c>
      <c r="G16">
        <f>F16+E11</f>
        <v>4623.0665595081373</v>
      </c>
      <c r="H16">
        <f t="shared" si="18"/>
        <v>1471.567790184977</v>
      </c>
    </row>
    <row r="17" spans="1:23">
      <c r="A17" s="1"/>
      <c r="T17" s="17"/>
      <c r="U17" s="17"/>
      <c r="V17" s="17"/>
      <c r="W17" s="17"/>
    </row>
    <row r="18" spans="1:23">
      <c r="A18" s="24" t="s">
        <v>16</v>
      </c>
      <c r="B18" t="s">
        <v>36</v>
      </c>
      <c r="C18">
        <v>93.315509430858668</v>
      </c>
      <c r="D18">
        <f t="shared" ref="D18:D36" si="19">1*C18</f>
        <v>93.315509430858668</v>
      </c>
      <c r="E18">
        <f>D18+E13</f>
        <v>202.88080679850589</v>
      </c>
      <c r="F18">
        <f t="shared" ref="F18" si="20">16.5*C18</f>
        <v>1539.705905609168</v>
      </c>
      <c r="G18">
        <f>F18+E13</f>
        <v>1649.2712029768152</v>
      </c>
      <c r="H18">
        <f t="shared" ref="H18" si="21">G18/1.002874915</f>
        <v>1644.5432808306059</v>
      </c>
    </row>
    <row r="19" spans="1:23">
      <c r="A19" s="24"/>
      <c r="B19" t="s">
        <v>24</v>
      </c>
      <c r="C19">
        <v>161.04117613306951</v>
      </c>
      <c r="D19">
        <f t="shared" si="19"/>
        <v>161.04117613306951</v>
      </c>
      <c r="E19">
        <f>D19+D14</f>
        <v>278.99822918507402</v>
      </c>
      <c r="F19">
        <f t="shared" ref="F19" si="22">21.56*C19</f>
        <v>3472.0477574289785</v>
      </c>
      <c r="G19">
        <f>F19+E14</f>
        <v>3636.4848309066456</v>
      </c>
      <c r="H19">
        <f t="shared" ref="H19" si="23">G19/1.767145868</f>
        <v>2057.8294620479205</v>
      </c>
    </row>
    <row r="20" spans="1:23">
      <c r="A20" s="24"/>
      <c r="B20" t="s">
        <v>6</v>
      </c>
      <c r="C20">
        <v>242.730616679538</v>
      </c>
      <c r="D20">
        <f t="shared" si="19"/>
        <v>242.730616679538</v>
      </c>
      <c r="E20">
        <f>D20+D15</f>
        <v>401.97094998766488</v>
      </c>
      <c r="F20">
        <f t="shared" ref="F20:F21" si="24">30.66*C20</f>
        <v>7442.1207073946352</v>
      </c>
      <c r="G20">
        <f>F20+E15</f>
        <v>7659.0904410295989</v>
      </c>
      <c r="H20">
        <f t="shared" ref="H20:H21" si="25">G20/3.141592654</f>
        <v>2437.9642062371586</v>
      </c>
    </row>
    <row r="21" spans="1:23">
      <c r="A21" s="24"/>
      <c r="B21" t="s">
        <v>5</v>
      </c>
      <c r="C21">
        <v>217.63908954790631</v>
      </c>
      <c r="D21">
        <f t="shared" si="19"/>
        <v>217.63908954790631</v>
      </c>
      <c r="E21">
        <f>D21+D16</f>
        <v>365.76175420264417</v>
      </c>
      <c r="F21">
        <f t="shared" si="24"/>
        <v>6672.8144855388073</v>
      </c>
      <c r="G21">
        <f>F21+E16</f>
        <v>6880.4823197665983</v>
      </c>
      <c r="H21">
        <f t="shared" si="25"/>
        <v>2190.1255438085191</v>
      </c>
    </row>
    <row r="22" spans="1:23">
      <c r="A22" s="1"/>
      <c r="T22" t="s">
        <v>22</v>
      </c>
      <c r="U22" t="s">
        <v>26</v>
      </c>
    </row>
    <row r="23" spans="1:23">
      <c r="A23" s="24" t="s">
        <v>17</v>
      </c>
      <c r="B23" t="s">
        <v>36</v>
      </c>
      <c r="C23">
        <v>115.06509431079201</v>
      </c>
      <c r="D23">
        <f t="shared" ref="D23:D24" si="26">1*C23</f>
        <v>115.06509431079201</v>
      </c>
      <c r="E23">
        <f>D23+E18</f>
        <v>317.94590110929789</v>
      </c>
      <c r="F23">
        <f t="shared" ref="F23" si="27">16.5*C23</f>
        <v>1898.5740561280682</v>
      </c>
      <c r="G23">
        <f>F23+E18</f>
        <v>2101.4548629265742</v>
      </c>
      <c r="H23">
        <f>G23/1.002874915</f>
        <v>2095.4306778393934</v>
      </c>
      <c r="T23">
        <v>212.96112401089249</v>
      </c>
      <c r="U23">
        <v>19.362938655334364</v>
      </c>
    </row>
    <row r="24" spans="1:23">
      <c r="A24" s="24"/>
      <c r="B24" t="s">
        <v>24</v>
      </c>
      <c r="C24">
        <v>204.2538571026117</v>
      </c>
      <c r="D24">
        <f t="shared" si="26"/>
        <v>204.2538571026117</v>
      </c>
      <c r="E24">
        <f>D24+D19</f>
        <v>365.29503323568122</v>
      </c>
      <c r="F24">
        <f t="shared" ref="F24" si="28">21.56*C24</f>
        <v>4403.7131591323077</v>
      </c>
      <c r="G24">
        <f>F24+E19</f>
        <v>4682.7113883173815</v>
      </c>
      <c r="H24">
        <f>G24/1.767145868</f>
        <v>2649.8725844387291</v>
      </c>
      <c r="T24">
        <v>567.26669940341094</v>
      </c>
      <c r="U24">
        <v>20.253135324943383</v>
      </c>
    </row>
    <row r="25" spans="1:23">
      <c r="A25" s="24"/>
      <c r="B25" t="s">
        <v>6</v>
      </c>
      <c r="C25">
        <v>283.67977136671698</v>
      </c>
      <c r="D25">
        <f t="shared" si="19"/>
        <v>283.67977136671698</v>
      </c>
      <c r="E25">
        <f>D25+D20</f>
        <v>526.41038804625498</v>
      </c>
      <c r="F25">
        <f t="shared" ref="F25:F26" si="29">30.66*C25</f>
        <v>8697.6217901035434</v>
      </c>
      <c r="G25">
        <f>F25+E20</f>
        <v>9099.5927400912078</v>
      </c>
      <c r="H25">
        <f>G25/3.141592654</f>
        <v>2896.4903290390771</v>
      </c>
      <c r="T25">
        <v>1405.5477186253252</v>
      </c>
      <c r="U25">
        <v>183.51077798728224</v>
      </c>
    </row>
    <row r="26" spans="1:23">
      <c r="A26" s="24"/>
      <c r="B26" t="s">
        <v>5</v>
      </c>
      <c r="C26">
        <v>272.96547701049121</v>
      </c>
      <c r="D26">
        <f t="shared" si="19"/>
        <v>272.96547701049121</v>
      </c>
      <c r="E26">
        <f>D26+D21</f>
        <v>490.60456655839755</v>
      </c>
      <c r="F26">
        <f t="shared" si="29"/>
        <v>8369.1215251416597</v>
      </c>
      <c r="G26">
        <f>F26+E21</f>
        <v>8734.8832793443034</v>
      </c>
      <c r="H26">
        <f>G26/3.141592654</f>
        <v>2780.3997021137366</v>
      </c>
      <c r="T26">
        <v>2082.6156232310509</v>
      </c>
      <c r="U26">
        <v>287.38159710976242</v>
      </c>
    </row>
    <row r="27" spans="1:23">
      <c r="A27" s="1"/>
      <c r="T27">
        <v>2605.5483233577343</v>
      </c>
      <c r="U27">
        <v>307.16644824602145</v>
      </c>
    </row>
    <row r="28" spans="1:23">
      <c r="A28" s="24" t="s">
        <v>18</v>
      </c>
      <c r="B28" t="s">
        <v>36</v>
      </c>
      <c r="C28">
        <v>136.81094773833951</v>
      </c>
      <c r="D28">
        <f t="shared" ref="D28" si="30">1*C28</f>
        <v>136.81094773833951</v>
      </c>
      <c r="E28">
        <f>D28+E23</f>
        <v>454.7568488476374</v>
      </c>
      <c r="F28">
        <f t="shared" ref="F28" si="31">16.5*C28</f>
        <v>2257.3806376826019</v>
      </c>
      <c r="G28">
        <f>F28+E23</f>
        <v>2575.3265387919</v>
      </c>
      <c r="H28">
        <f t="shared" ref="H28" si="32">G28/1.002874915</f>
        <v>2567.9439183020145</v>
      </c>
      <c r="J28" s="11" t="s">
        <v>27</v>
      </c>
      <c r="K28" s="6" t="s">
        <v>23</v>
      </c>
      <c r="L28" s="15"/>
      <c r="M28" s="15" t="s">
        <v>36</v>
      </c>
      <c r="N28" s="14" t="s">
        <v>24</v>
      </c>
      <c r="O28" s="13" t="s">
        <v>6</v>
      </c>
      <c r="P28" s="13" t="s">
        <v>5</v>
      </c>
      <c r="Q28" s="16" t="s">
        <v>22</v>
      </c>
      <c r="R28" s="16" t="s">
        <v>28</v>
      </c>
      <c r="T28">
        <v>3057.3647092385054</v>
      </c>
      <c r="U28">
        <v>290.29293899330196</v>
      </c>
    </row>
    <row r="29" spans="1:23">
      <c r="A29" s="24"/>
      <c r="B29" t="s">
        <v>24</v>
      </c>
      <c r="C29">
        <v>241.99488790005361</v>
      </c>
      <c r="D29">
        <f>1*C29</f>
        <v>241.99488790005361</v>
      </c>
      <c r="E29">
        <f>D29+D24</f>
        <v>446.24874500266532</v>
      </c>
      <c r="F29">
        <f t="shared" ref="F29" si="33">21.56*C29</f>
        <v>5217.4097831251556</v>
      </c>
      <c r="G29">
        <f>F29+E24</f>
        <v>5582.704816360837</v>
      </c>
      <c r="H29">
        <f t="shared" ref="H29" si="34">G29/1.767145868</f>
        <v>3159.1646832636211</v>
      </c>
      <c r="J29" s="12">
        <v>0.70710678118654802</v>
      </c>
      <c r="K29" s="6">
        <v>0.5</v>
      </c>
      <c r="M29">
        <v>231.64618968970777</v>
      </c>
      <c r="N29">
        <v>223.79030687167426</v>
      </c>
      <c r="O29">
        <v>180.91606667784833</v>
      </c>
      <c r="P29">
        <v>215.49193280433968</v>
      </c>
      <c r="Q29">
        <f t="shared" ref="Q29:Q34" si="35">AVERAGE(M29:P29)</f>
        <v>212.96112401089249</v>
      </c>
      <c r="R29">
        <f t="shared" ref="R29:R34" si="36">_xlfn.STDEV.P(M29:P29)</f>
        <v>19.362938655334364</v>
      </c>
      <c r="T29">
        <v>3445.8879384486172</v>
      </c>
      <c r="U29">
        <v>295.45462931771317</v>
      </c>
    </row>
    <row r="30" spans="1:23">
      <c r="A30" s="24"/>
      <c r="B30" t="s">
        <v>6</v>
      </c>
      <c r="C30">
        <v>308.00758580778</v>
      </c>
      <c r="D30">
        <f t="shared" si="19"/>
        <v>308.00758580778</v>
      </c>
      <c r="E30">
        <f>D30+D25</f>
        <v>591.68735717449704</v>
      </c>
      <c r="F30">
        <f t="shared" ref="F30:F31" si="37">30.66*C30</f>
        <v>9443.5125808665343</v>
      </c>
      <c r="G30">
        <f>F30+E25</f>
        <v>9969.9229689127897</v>
      </c>
      <c r="H30">
        <f t="shared" ref="H30:H31" si="38">G30/3.141592654</f>
        <v>3173.5250450814142</v>
      </c>
      <c r="J30" s="12">
        <v>1</v>
      </c>
      <c r="K30" s="6">
        <v>1</v>
      </c>
      <c r="M30">
        <v>534.15270481064215</v>
      </c>
      <c r="N30">
        <v>577.45771224592886</v>
      </c>
      <c r="O30">
        <v>569.30393871264516</v>
      </c>
      <c r="P30">
        <v>588.15244184442804</v>
      </c>
      <c r="Q30">
        <f t="shared" si="35"/>
        <v>567.26669940341094</v>
      </c>
      <c r="R30">
        <f t="shared" si="36"/>
        <v>20.253135324943383</v>
      </c>
    </row>
    <row r="31" spans="1:23">
      <c r="A31" s="24"/>
      <c r="B31" t="s">
        <v>5</v>
      </c>
      <c r="C31">
        <v>325.08832999869998</v>
      </c>
      <c r="D31">
        <f t="shared" si="19"/>
        <v>325.08832999869998</v>
      </c>
      <c r="E31">
        <f>D31+D26</f>
        <v>598.05380700919113</v>
      </c>
      <c r="F31">
        <f t="shared" si="37"/>
        <v>9967.208197760141</v>
      </c>
      <c r="G31">
        <f>F31+E26</f>
        <v>10457.812764318538</v>
      </c>
      <c r="H31">
        <f t="shared" si="38"/>
        <v>3328.8251903069727</v>
      </c>
      <c r="J31" s="12">
        <v>1.4142135623730951</v>
      </c>
      <c r="K31" s="6">
        <v>2</v>
      </c>
      <c r="M31">
        <v>1096.4464199027686</v>
      </c>
      <c r="N31">
        <v>1475.8130051489982</v>
      </c>
      <c r="O31">
        <v>1578.3636592645573</v>
      </c>
      <c r="P31">
        <v>1471.567790184977</v>
      </c>
      <c r="Q31">
        <f t="shared" si="35"/>
        <v>1405.5477186253252</v>
      </c>
      <c r="R31">
        <f t="shared" si="36"/>
        <v>183.51077798728224</v>
      </c>
    </row>
    <row r="32" spans="1:23">
      <c r="A32" s="1"/>
      <c r="J32" s="12">
        <v>1.7320508075688772</v>
      </c>
      <c r="K32" s="6">
        <v>3</v>
      </c>
      <c r="M32">
        <v>1644.5432808306059</v>
      </c>
      <c r="N32">
        <v>2057.8294620479205</v>
      </c>
      <c r="O32">
        <v>2437.9642062371586</v>
      </c>
      <c r="P32">
        <v>2190.1255438085191</v>
      </c>
      <c r="Q32">
        <f t="shared" si="35"/>
        <v>2082.6156232310509</v>
      </c>
      <c r="R32">
        <f t="shared" si="36"/>
        <v>287.38159710976242</v>
      </c>
    </row>
    <row r="33" spans="1:18">
      <c r="A33" s="24" t="s">
        <v>19</v>
      </c>
      <c r="B33" t="s">
        <v>36</v>
      </c>
      <c r="C33">
        <v>151.7274152714995</v>
      </c>
      <c r="D33">
        <f t="shared" ref="D33" si="39">1*C33</f>
        <v>151.7274152714995</v>
      </c>
      <c r="E33">
        <f>D33+E28</f>
        <v>606.48426411913692</v>
      </c>
      <c r="F33">
        <f t="shared" ref="F33" si="40">16.5*C33</f>
        <v>2503.5023519797419</v>
      </c>
      <c r="G33">
        <f>F33+E28</f>
        <v>2958.2592008273791</v>
      </c>
      <c r="H33">
        <f t="shared" ref="H33" si="41">G33/1.002874915</f>
        <v>2949.778837401052</v>
      </c>
      <c r="J33" s="12">
        <v>2</v>
      </c>
      <c r="K33" s="6">
        <v>4</v>
      </c>
      <c r="M33">
        <v>2095.4306778393934</v>
      </c>
      <c r="N33">
        <v>2649.8725844387291</v>
      </c>
      <c r="O33">
        <v>2896.4903290390771</v>
      </c>
      <c r="P33">
        <v>2780.3997021137366</v>
      </c>
      <c r="Q33">
        <f t="shared" si="35"/>
        <v>2605.5483233577343</v>
      </c>
      <c r="R33">
        <f t="shared" si="36"/>
        <v>307.16644824602145</v>
      </c>
    </row>
    <row r="34" spans="1:18">
      <c r="A34" s="24"/>
      <c r="B34" t="s">
        <v>24</v>
      </c>
      <c r="C34">
        <v>271.55741958441507</v>
      </c>
      <c r="D34">
        <f>1*C34</f>
        <v>271.55741958441507</v>
      </c>
      <c r="E34">
        <f>D34+D29</f>
        <v>513.55230748446866</v>
      </c>
      <c r="F34">
        <f t="shared" ref="F34" si="42">21.56*C34</f>
        <v>5854.7779662399889</v>
      </c>
      <c r="G34">
        <f>F34+E29</f>
        <v>6301.0267112426545</v>
      </c>
      <c r="H34">
        <f t="shared" ref="H34" si="43">G34/1.767145868</f>
        <v>3565.6517242540694</v>
      </c>
      <c r="J34" s="12">
        <v>2.2360679774997898</v>
      </c>
      <c r="K34" s="6">
        <v>5</v>
      </c>
      <c r="M34">
        <v>2567.9439183020145</v>
      </c>
      <c r="N34">
        <v>3159.1646832636211</v>
      </c>
      <c r="O34">
        <v>3173.5250450814142</v>
      </c>
      <c r="P34">
        <v>3328.8251903069727</v>
      </c>
      <c r="Q34">
        <f t="shared" si="35"/>
        <v>3057.3647092385054</v>
      </c>
      <c r="R34">
        <f t="shared" si="36"/>
        <v>290.29293899330196</v>
      </c>
    </row>
    <row r="35" spans="1:18">
      <c r="A35" s="24"/>
      <c r="B35" t="s">
        <v>6</v>
      </c>
      <c r="C35">
        <v>343.37702781228103</v>
      </c>
      <c r="D35">
        <f t="shared" si="19"/>
        <v>343.37702781228103</v>
      </c>
      <c r="E35">
        <f>D35+D30</f>
        <v>651.38461362006103</v>
      </c>
      <c r="F35">
        <f t="shared" ref="F35:F36" si="44">30.66*C35</f>
        <v>10527.939672724537</v>
      </c>
      <c r="G35">
        <f>F35+E30</f>
        <v>11119.627029899033</v>
      </c>
      <c r="H35">
        <f t="shared" ref="H35:H36" si="45">G35/3.141592654</f>
        <v>3539.4872138312026</v>
      </c>
      <c r="J35" s="12">
        <v>2.4494897427831779</v>
      </c>
      <c r="K35" s="6">
        <v>6</v>
      </c>
      <c r="L35" s="17"/>
      <c r="M35" s="17">
        <v>2949.778837401052</v>
      </c>
      <c r="N35" s="17">
        <v>3565.6517242540694</v>
      </c>
      <c r="O35" s="17">
        <v>3539.4872138312026</v>
      </c>
      <c r="P35" s="17">
        <v>3728.6339783081467</v>
      </c>
      <c r="Q35" s="17">
        <f>AVERAGE(M35:P35)</f>
        <v>3445.8879384486172</v>
      </c>
      <c r="R35" s="17">
        <f>_xlfn.STDEV.P(M35:P35)</f>
        <v>295.45462931771317</v>
      </c>
    </row>
    <row r="36" spans="1:18">
      <c r="A36" s="24"/>
      <c r="B36" t="s">
        <v>5</v>
      </c>
      <c r="C36">
        <v>362.55040145787598</v>
      </c>
      <c r="D36">
        <f t="shared" si="19"/>
        <v>362.55040145787598</v>
      </c>
      <c r="E36">
        <f>D36+D31</f>
        <v>687.6387314565759</v>
      </c>
      <c r="F36">
        <f t="shared" si="44"/>
        <v>11115.795308698478</v>
      </c>
      <c r="G36">
        <f>F36+E31</f>
        <v>11713.84911570767</v>
      </c>
      <c r="H36">
        <f t="shared" si="45"/>
        <v>3728.6339783081467</v>
      </c>
    </row>
  </sheetData>
  <mergeCells count="8">
    <mergeCell ref="A23:A26"/>
    <mergeCell ref="A28:A31"/>
    <mergeCell ref="A33:A36"/>
    <mergeCell ref="A1:A2"/>
    <mergeCell ref="A3:A6"/>
    <mergeCell ref="A8:A11"/>
    <mergeCell ref="A13:A16"/>
    <mergeCell ref="A18:A21"/>
  </mergeCells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C8AA-7770-4C66-B1F2-E44B0DDD2057}">
  <dimension ref="A1:W36"/>
  <sheetViews>
    <sheetView topLeftCell="E2" workbookViewId="0">
      <selection activeCell="T23" sqref="T23:U29"/>
    </sheetView>
  </sheetViews>
  <sheetFormatPr defaultRowHeight="14.5"/>
  <cols>
    <col min="3" max="3" width="21.26953125" customWidth="1"/>
    <col min="4" max="4" width="31.7265625" customWidth="1"/>
    <col min="5" max="5" width="28.26953125" customWidth="1"/>
    <col min="6" max="6" width="28.81640625" customWidth="1"/>
    <col min="7" max="7" width="25.81640625" customWidth="1"/>
    <col min="8" max="8" width="28.54296875" customWidth="1"/>
    <col min="10" max="10" width="15.08984375" customWidth="1"/>
  </cols>
  <sheetData>
    <row r="1" spans="1:23" ht="29">
      <c r="A1" s="24" t="s">
        <v>20</v>
      </c>
      <c r="B1" s="1"/>
      <c r="C1" s="2" t="s">
        <v>4</v>
      </c>
      <c r="D1" s="1"/>
      <c r="E1" s="3" t="s">
        <v>2</v>
      </c>
      <c r="F1" s="5" t="s">
        <v>30</v>
      </c>
      <c r="G1" s="1"/>
      <c r="H1" s="1"/>
    </row>
    <row r="2" spans="1:23" ht="151.5" customHeight="1">
      <c r="A2" s="24"/>
      <c r="B2" s="3"/>
      <c r="C2" s="4" t="s">
        <v>0</v>
      </c>
      <c r="D2" s="3" t="s">
        <v>8</v>
      </c>
      <c r="E2" s="3" t="s">
        <v>1</v>
      </c>
      <c r="F2" s="3" t="s">
        <v>14</v>
      </c>
      <c r="G2" s="3" t="s">
        <v>3</v>
      </c>
      <c r="H2" s="3" t="s">
        <v>15</v>
      </c>
    </row>
    <row r="3" spans="1:23">
      <c r="A3" s="25" t="s">
        <v>9</v>
      </c>
      <c r="B3" t="s">
        <v>36</v>
      </c>
      <c r="C3">
        <v>14.78042260432105</v>
      </c>
      <c r="D3">
        <f>1*C3</f>
        <v>14.78042260432105</v>
      </c>
      <c r="E3">
        <f>D3</f>
        <v>14.78042260432105</v>
      </c>
      <c r="F3">
        <f>16.5*C3</f>
        <v>243.87697297129733</v>
      </c>
      <c r="G3">
        <f>F3</f>
        <v>243.87697297129733</v>
      </c>
      <c r="H3">
        <f>G3/1.002874915</f>
        <v>243.1778573016729</v>
      </c>
      <c r="K3" t="s">
        <v>21</v>
      </c>
    </row>
    <row r="4" spans="1:23">
      <c r="A4" s="25"/>
      <c r="B4" t="s">
        <v>24</v>
      </c>
      <c r="C4">
        <v>16.633271374945512</v>
      </c>
      <c r="D4">
        <f t="shared" ref="D4:D16" si="0">1*C4</f>
        <v>16.633271374945512</v>
      </c>
      <c r="E4">
        <f>D4</f>
        <v>16.633271374945512</v>
      </c>
      <c r="F4">
        <f>21.56*C4</f>
        <v>358.61333084382522</v>
      </c>
      <c r="G4">
        <f>F4</f>
        <v>358.61333084382522</v>
      </c>
      <c r="H4">
        <f>G4/1.767145868</f>
        <v>202.93363289228211</v>
      </c>
      <c r="J4" s="6" t="s">
        <v>23</v>
      </c>
      <c r="K4" s="6">
        <v>0.5</v>
      </c>
      <c r="L4" s="6">
        <v>1</v>
      </c>
      <c r="M4" s="6">
        <v>2</v>
      </c>
      <c r="N4" s="6">
        <v>3</v>
      </c>
      <c r="O4" s="6">
        <v>4</v>
      </c>
      <c r="P4" s="6">
        <v>5</v>
      </c>
      <c r="Q4" s="6">
        <v>6</v>
      </c>
    </row>
    <row r="5" spans="1:23">
      <c r="A5" s="25"/>
      <c r="B5" t="s">
        <v>6</v>
      </c>
      <c r="C5">
        <v>19.34710153256707</v>
      </c>
      <c r="D5">
        <f t="shared" si="0"/>
        <v>19.34710153256707</v>
      </c>
      <c r="E5">
        <f>D5</f>
        <v>19.34710153256707</v>
      </c>
      <c r="F5">
        <f>30.66*C5</f>
        <v>593.1821329885064</v>
      </c>
      <c r="G5">
        <f>F5</f>
        <v>593.1821329885064</v>
      </c>
      <c r="H5">
        <f>G5/3.141592654</f>
        <v>188.81573721317542</v>
      </c>
      <c r="J5" s="8"/>
      <c r="Q5" s="17"/>
    </row>
    <row r="6" spans="1:23">
      <c r="A6" s="25"/>
      <c r="B6" t="s">
        <v>5</v>
      </c>
      <c r="C6">
        <v>18.23053553145856</v>
      </c>
      <c r="D6">
        <f t="shared" si="0"/>
        <v>18.23053553145856</v>
      </c>
      <c r="E6">
        <f>D6</f>
        <v>18.23053553145856</v>
      </c>
      <c r="F6">
        <f>30.66*C6</f>
        <v>558.94821939451947</v>
      </c>
      <c r="G6">
        <f>F6</f>
        <v>558.94821939451947</v>
      </c>
      <c r="H6">
        <f>G6/3.141592654</f>
        <v>177.91874407487057</v>
      </c>
      <c r="J6" s="8" t="s">
        <v>36</v>
      </c>
      <c r="K6">
        <v>243.1778573016729</v>
      </c>
      <c r="L6">
        <v>576.09725415016385</v>
      </c>
      <c r="M6">
        <v>1271.2918522048078</v>
      </c>
      <c r="N6">
        <v>1837.0282901913943</v>
      </c>
      <c r="O6">
        <v>2429.8114956441436</v>
      </c>
      <c r="P6">
        <v>3021.3757349662401</v>
      </c>
      <c r="Q6" s="17">
        <v>3522.871657777222</v>
      </c>
    </row>
    <row r="7" spans="1:23">
      <c r="A7" s="1"/>
      <c r="J7" s="7" t="s">
        <v>24</v>
      </c>
      <c r="K7">
        <v>202.93363289228211</v>
      </c>
      <c r="L7">
        <v>606.15957837945507</v>
      </c>
      <c r="M7">
        <v>1534.7343815858462</v>
      </c>
      <c r="N7">
        <v>2144.120704286298</v>
      </c>
      <c r="O7">
        <v>2609.6883009799099</v>
      </c>
      <c r="P7">
        <v>3215.3422151330101</v>
      </c>
      <c r="Q7" s="17">
        <v>3799.5045173487247</v>
      </c>
    </row>
    <row r="8" spans="1:23">
      <c r="A8" s="25" t="s">
        <v>10</v>
      </c>
      <c r="B8" t="s">
        <v>36</v>
      </c>
      <c r="C8">
        <v>34.11957952625805</v>
      </c>
      <c r="D8">
        <f t="shared" si="0"/>
        <v>34.11957952625805</v>
      </c>
      <c r="E8">
        <f>D8+E3</f>
        <v>48.900002130579097</v>
      </c>
      <c r="F8">
        <f>16.5*C8</f>
        <v>562.97306218325787</v>
      </c>
      <c r="G8">
        <f>F8+E3</f>
        <v>577.75348478757894</v>
      </c>
      <c r="H8">
        <f t="shared" ref="H8" si="1">G8/1.002874915</f>
        <v>576.09725415016385</v>
      </c>
      <c r="J8" s="8" t="s">
        <v>6</v>
      </c>
      <c r="K8">
        <v>188.81573721317542</v>
      </c>
      <c r="L8">
        <v>569.86338429269347</v>
      </c>
      <c r="M8">
        <v>1621.8691516688882</v>
      </c>
      <c r="N8">
        <v>2382.0747365335869</v>
      </c>
      <c r="O8">
        <v>3097.8808346715605</v>
      </c>
      <c r="P8">
        <v>3674.4307334363061</v>
      </c>
      <c r="Q8" s="17">
        <v>4100.0302668850827</v>
      </c>
    </row>
    <row r="9" spans="1:23">
      <c r="A9" s="25"/>
      <c r="B9" t="s">
        <v>24</v>
      </c>
      <c r="C9">
        <v>48.911833158948554</v>
      </c>
      <c r="D9">
        <f t="shared" si="0"/>
        <v>48.911833158948554</v>
      </c>
      <c r="E9">
        <f>D9+D4</f>
        <v>65.545104533894062</v>
      </c>
      <c r="F9">
        <f>21.56*C9</f>
        <v>1054.5391229069307</v>
      </c>
      <c r="G9">
        <f>F9+E4</f>
        <v>1071.1723942818762</v>
      </c>
      <c r="H9">
        <f t="shared" ref="H9" si="2">G9/1.767145868</f>
        <v>606.15957837945507</v>
      </c>
      <c r="J9" s="8" t="s">
        <v>5</v>
      </c>
      <c r="K9">
        <v>177.91874407487057</v>
      </c>
      <c r="L9">
        <v>511.19432798490993</v>
      </c>
      <c r="M9">
        <v>1358.4363224853537</v>
      </c>
      <c r="N9">
        <v>2035.8901424792273</v>
      </c>
      <c r="O9">
        <v>2619.7530070997286</v>
      </c>
      <c r="P9">
        <v>3144.5467662082533</v>
      </c>
      <c r="Q9" s="17">
        <v>3595.6118709645416</v>
      </c>
    </row>
    <row r="10" spans="1:23">
      <c r="A10" s="25"/>
      <c r="B10" t="s">
        <v>6</v>
      </c>
      <c r="C10">
        <v>57.760323559847947</v>
      </c>
      <c r="D10">
        <f t="shared" si="0"/>
        <v>57.760323559847947</v>
      </c>
      <c r="E10">
        <f>D10+D5</f>
        <v>77.107425092415014</v>
      </c>
      <c r="F10">
        <f>30.66*C10</f>
        <v>1770.931520344938</v>
      </c>
      <c r="G10">
        <f>F10+E5</f>
        <v>1790.278621877505</v>
      </c>
      <c r="H10">
        <f t="shared" ref="H10:H11" si="3">G10/3.141592654</f>
        <v>569.86338429269347</v>
      </c>
      <c r="J10" s="9" t="s">
        <v>22</v>
      </c>
      <c r="K10">
        <f t="shared" ref="K10:P10" si="4">AVERAGE(K7:K9,K6)</f>
        <v>203.21149287050025</v>
      </c>
      <c r="L10">
        <f t="shared" si="4"/>
        <v>565.82863620180558</v>
      </c>
      <c r="M10">
        <f t="shared" si="4"/>
        <v>1446.5829269862238</v>
      </c>
      <c r="N10">
        <f t="shared" si="4"/>
        <v>2099.7784683726268</v>
      </c>
      <c r="O10">
        <f t="shared" si="4"/>
        <v>2689.283409598836</v>
      </c>
      <c r="P10">
        <f t="shared" si="4"/>
        <v>3263.9238624359523</v>
      </c>
      <c r="Q10" s="17">
        <f>AVERAGE(Q7:Q9,Q6)</f>
        <v>3754.5045782438929</v>
      </c>
      <c r="T10">
        <v>243.1778573016729</v>
      </c>
      <c r="U10">
        <v>202.93363289228211</v>
      </c>
      <c r="V10">
        <v>188.81573721317542</v>
      </c>
      <c r="W10">
        <v>177.91874407487057</v>
      </c>
    </row>
    <row r="11" spans="1:23">
      <c r="A11" s="25"/>
      <c r="B11" t="s">
        <v>5</v>
      </c>
      <c r="C11">
        <v>51.785186237195077</v>
      </c>
      <c r="D11">
        <f t="shared" si="0"/>
        <v>51.785186237195077</v>
      </c>
      <c r="E11">
        <f>D11+D6</f>
        <v>70.015721768653634</v>
      </c>
      <c r="F11">
        <f>30.66*C11</f>
        <v>1587.7338100324012</v>
      </c>
      <c r="G11">
        <f>F11+E6</f>
        <v>1605.9643455638598</v>
      </c>
      <c r="H11">
        <f t="shared" si="3"/>
        <v>511.19432798490993</v>
      </c>
      <c r="J11" s="9" t="s">
        <v>26</v>
      </c>
      <c r="K11">
        <f t="shared" ref="K11:P11" si="5">_xlfn.STDEV.P(K7:K9,K6)</f>
        <v>24.720176044058697</v>
      </c>
      <c r="L11">
        <f t="shared" si="5"/>
        <v>34.39918690173478</v>
      </c>
      <c r="M11">
        <f t="shared" si="5"/>
        <v>138.73781414469127</v>
      </c>
      <c r="N11">
        <f t="shared" si="5"/>
        <v>196.70840807090522</v>
      </c>
      <c r="O11">
        <f t="shared" si="5"/>
        <v>247.71323546346818</v>
      </c>
      <c r="P11">
        <f t="shared" si="5"/>
        <v>246.95979067248462</v>
      </c>
      <c r="Q11" s="17">
        <f>_xlfn.STDEV.P(Q7:Q9,Q6)</f>
        <v>223.78209172143764</v>
      </c>
      <c r="T11">
        <v>576.09725415016385</v>
      </c>
      <c r="U11">
        <v>606.15957837945507</v>
      </c>
      <c r="V11">
        <v>569.86338429269347</v>
      </c>
      <c r="W11">
        <v>511.19432798490993</v>
      </c>
    </row>
    <row r="12" spans="1:23">
      <c r="A12" s="1"/>
      <c r="T12">
        <v>1271.2918522048078</v>
      </c>
      <c r="U12">
        <v>1534.7343815858462</v>
      </c>
      <c r="V12">
        <v>1621.8691516688882</v>
      </c>
      <c r="W12">
        <v>1358.4363224853537</v>
      </c>
    </row>
    <row r="13" spans="1:23">
      <c r="A13" s="25" t="s">
        <v>11</v>
      </c>
      <c r="B13" t="s">
        <v>36</v>
      </c>
      <c r="C13">
        <v>74.305860975121817</v>
      </c>
      <c r="D13">
        <f>1*C13</f>
        <v>74.305860975121817</v>
      </c>
      <c r="E13">
        <f>D13+E8</f>
        <v>123.20586310570091</v>
      </c>
      <c r="F13">
        <f t="shared" ref="F13" si="6">16.5*C13</f>
        <v>1226.0467060895101</v>
      </c>
      <c r="G13">
        <f>F13+E8</f>
        <v>1274.9467082200892</v>
      </c>
      <c r="H13">
        <f t="shared" ref="H13" si="7">G13/1.002874915</f>
        <v>1271.2918522048078</v>
      </c>
      <c r="T13">
        <v>1837.0282901913943</v>
      </c>
      <c r="U13">
        <v>2144.120704286298</v>
      </c>
      <c r="V13">
        <v>2382.0747365335869</v>
      </c>
      <c r="W13">
        <v>2035.8901424792273</v>
      </c>
    </row>
    <row r="14" spans="1:23">
      <c r="A14" s="25"/>
      <c r="B14" t="s">
        <v>24</v>
      </c>
      <c r="C14">
        <v>122.752987771942</v>
      </c>
      <c r="D14">
        <f>1*C14</f>
        <v>122.752987771942</v>
      </c>
      <c r="E14">
        <f>D14+D9</f>
        <v>171.66482093089056</v>
      </c>
      <c r="F14">
        <f t="shared" ref="F14" si="8">21.56*C14</f>
        <v>2646.5544163630693</v>
      </c>
      <c r="G14">
        <f>F14+E9</f>
        <v>2712.0995208969634</v>
      </c>
      <c r="H14">
        <f t="shared" ref="H14" si="9">G14/1.767145868</f>
        <v>1534.7343815858462</v>
      </c>
      <c r="T14">
        <v>2429.8114956441436</v>
      </c>
      <c r="U14">
        <v>2609.6883009799099</v>
      </c>
      <c r="V14">
        <v>3097.8808346715605</v>
      </c>
      <c r="W14">
        <v>2619.7530070997286</v>
      </c>
    </row>
    <row r="15" spans="1:23">
      <c r="A15" s="25"/>
      <c r="B15" t="s">
        <v>6</v>
      </c>
      <c r="C15">
        <v>163.67073671036451</v>
      </c>
      <c r="D15">
        <f t="shared" si="0"/>
        <v>163.67073671036451</v>
      </c>
      <c r="E15">
        <f>D15+D10</f>
        <v>221.43106027021247</v>
      </c>
      <c r="F15">
        <f t="shared" ref="F15:F16" si="10">30.66*C15</f>
        <v>5018.1447875397762</v>
      </c>
      <c r="G15">
        <f>F15+E10</f>
        <v>5095.252212632191</v>
      </c>
      <c r="H15">
        <f t="shared" ref="H15:H16" si="11">G15/3.141592654</f>
        <v>1621.8691516688882</v>
      </c>
      <c r="T15">
        <v>3021.3757349662401</v>
      </c>
      <c r="U15">
        <v>3215.3422151330101</v>
      </c>
      <c r="V15">
        <v>3674.4307334363061</v>
      </c>
      <c r="W15">
        <v>3144.5467662082533</v>
      </c>
    </row>
    <row r="16" spans="1:23">
      <c r="A16" s="25"/>
      <c r="B16" t="s">
        <v>5</v>
      </c>
      <c r="C16">
        <v>136.90925798689199</v>
      </c>
      <c r="D16">
        <f t="shared" si="0"/>
        <v>136.90925798689199</v>
      </c>
      <c r="E16">
        <f>D16+D11</f>
        <v>188.69444422408708</v>
      </c>
      <c r="F16">
        <f t="shared" si="10"/>
        <v>4197.6378498781087</v>
      </c>
      <c r="G16">
        <f>F16+E11</f>
        <v>4267.6535716467624</v>
      </c>
      <c r="H16">
        <f t="shared" si="11"/>
        <v>1358.4363224853537</v>
      </c>
      <c r="T16" s="17">
        <v>3522.871657777222</v>
      </c>
      <c r="U16" s="17">
        <v>3799.5045173487247</v>
      </c>
      <c r="V16" s="17">
        <v>4100.0302668850827</v>
      </c>
      <c r="W16" s="17">
        <v>3595.6118709645416</v>
      </c>
    </row>
    <row r="17" spans="1:23">
      <c r="A17" s="1"/>
      <c r="T17" s="17"/>
      <c r="U17" s="17"/>
      <c r="V17" s="17"/>
      <c r="W17" s="17"/>
    </row>
    <row r="18" spans="1:23">
      <c r="A18" s="24" t="s">
        <v>16</v>
      </c>
      <c r="B18" t="s">
        <v>36</v>
      </c>
      <c r="C18">
        <v>104.18810468318721</v>
      </c>
      <c r="D18">
        <f t="shared" ref="D18:D36" si="12">1*C18</f>
        <v>104.18810468318721</v>
      </c>
      <c r="E18">
        <f>D18+E13</f>
        <v>227.39396778888812</v>
      </c>
      <c r="F18">
        <f t="shared" ref="F18" si="13">16.5*C18</f>
        <v>1719.1037272725889</v>
      </c>
      <c r="G18">
        <f>F18+E13</f>
        <v>1842.3095903782898</v>
      </c>
      <c r="H18">
        <f t="shared" ref="H18" si="14">G18/1.002874915</f>
        <v>1837.0282901913943</v>
      </c>
    </row>
    <row r="19" spans="1:23">
      <c r="A19" s="24"/>
      <c r="B19" t="s">
        <v>24</v>
      </c>
      <c r="C19">
        <v>167.77872087856639</v>
      </c>
      <c r="D19">
        <f t="shared" si="12"/>
        <v>167.77872087856639</v>
      </c>
      <c r="E19">
        <f>D19+D14</f>
        <v>290.53170865050839</v>
      </c>
      <c r="F19">
        <f t="shared" ref="F19" si="15">21.56*C19</f>
        <v>3617.309222141891</v>
      </c>
      <c r="G19">
        <f>F19+E14</f>
        <v>3788.9740430727816</v>
      </c>
      <c r="H19">
        <f t="shared" ref="H19" si="16">G19/1.767145868</f>
        <v>2144.120704286298</v>
      </c>
    </row>
    <row r="20" spans="1:23">
      <c r="A20" s="24"/>
      <c r="B20" t="s">
        <v>6</v>
      </c>
      <c r="C20">
        <v>236.8583637737342</v>
      </c>
      <c r="D20">
        <f t="shared" si="12"/>
        <v>236.8583637737342</v>
      </c>
      <c r="E20">
        <f>D20+D15</f>
        <v>400.52910048409871</v>
      </c>
      <c r="F20">
        <f t="shared" ref="F20:F21" si="17">30.66*C20</f>
        <v>7262.0774333026902</v>
      </c>
      <c r="G20">
        <f>F20+E15</f>
        <v>7483.5084935729028</v>
      </c>
      <c r="H20">
        <f t="shared" ref="H20:H21" si="18">G20/3.141592654</f>
        <v>2382.0747365335869</v>
      </c>
    </row>
    <row r="21" spans="1:23">
      <c r="A21" s="24"/>
      <c r="B21" t="s">
        <v>5</v>
      </c>
      <c r="C21">
        <v>202.4541119288867</v>
      </c>
      <c r="D21">
        <f t="shared" si="12"/>
        <v>202.4541119288867</v>
      </c>
      <c r="E21">
        <f>D21+D16</f>
        <v>339.36336991577866</v>
      </c>
      <c r="F21">
        <f t="shared" si="17"/>
        <v>6207.2430717396664</v>
      </c>
      <c r="G21">
        <f>F21+E16</f>
        <v>6395.9375159637539</v>
      </c>
      <c r="H21">
        <f t="shared" si="18"/>
        <v>2035.8901424792273</v>
      </c>
    </row>
    <row r="22" spans="1:23">
      <c r="A22" s="1"/>
      <c r="T22" t="s">
        <v>22</v>
      </c>
      <c r="U22" t="s">
        <v>26</v>
      </c>
    </row>
    <row r="23" spans="1:23">
      <c r="A23" s="24" t="s">
        <v>17</v>
      </c>
      <c r="B23" t="s">
        <v>36</v>
      </c>
      <c r="C23">
        <v>133.90321390128821</v>
      </c>
      <c r="D23">
        <f t="shared" ref="D23:D24" si="19">1*C23</f>
        <v>133.90321390128821</v>
      </c>
      <c r="E23">
        <f>D23+E18</f>
        <v>361.29718169017633</v>
      </c>
      <c r="F23">
        <f t="shared" ref="F23" si="20">16.5*C23</f>
        <v>2209.4030293712553</v>
      </c>
      <c r="G23">
        <f>F23+E18</f>
        <v>2436.7969971601433</v>
      </c>
      <c r="H23">
        <f>G23/1.002874915</f>
        <v>2429.8114956441436</v>
      </c>
      <c r="T23">
        <v>203.21149287050025</v>
      </c>
      <c r="U23">
        <v>24.720176044058697</v>
      </c>
    </row>
    <row r="24" spans="1:23">
      <c r="A24" s="24"/>
      <c r="B24" t="s">
        <v>24</v>
      </c>
      <c r="C24">
        <v>200.42524068618181</v>
      </c>
      <c r="D24">
        <f t="shared" si="19"/>
        <v>200.42524068618181</v>
      </c>
      <c r="E24">
        <f>D24+D19</f>
        <v>368.20396156474817</v>
      </c>
      <c r="F24">
        <f t="shared" ref="F24" si="21">21.56*C24</f>
        <v>4321.1681891940798</v>
      </c>
      <c r="G24">
        <f>F24+E19</f>
        <v>4611.6998978445881</v>
      </c>
      <c r="H24">
        <f>G24/1.767145868</f>
        <v>2609.6883009799099</v>
      </c>
      <c r="T24">
        <v>565.82863620180558</v>
      </c>
      <c r="U24">
        <v>34.39918690173478</v>
      </c>
    </row>
    <row r="25" spans="1:23">
      <c r="A25" s="24"/>
      <c r="B25" t="s">
        <v>6</v>
      </c>
      <c r="C25">
        <v>304.36238006156111</v>
      </c>
      <c r="D25">
        <f t="shared" si="12"/>
        <v>304.36238006156111</v>
      </c>
      <c r="E25">
        <f>D25+D20</f>
        <v>541.22074383529525</v>
      </c>
      <c r="F25">
        <f t="shared" ref="F25:F26" si="22">30.66*C25</f>
        <v>9331.7505726874642</v>
      </c>
      <c r="G25">
        <f>F25+E20</f>
        <v>9732.2796731715625</v>
      </c>
      <c r="H25">
        <f>G25/3.141592654</f>
        <v>3097.8808346715605</v>
      </c>
      <c r="T25">
        <v>1446.5829269862238</v>
      </c>
      <c r="U25">
        <v>138.73781414469127</v>
      </c>
    </row>
    <row r="26" spans="1:23">
      <c r="A26" s="24"/>
      <c r="B26" t="s">
        <v>5</v>
      </c>
      <c r="C26">
        <v>257.36573491464901</v>
      </c>
      <c r="D26">
        <f t="shared" si="12"/>
        <v>257.36573491464901</v>
      </c>
      <c r="E26">
        <f>D26+D21</f>
        <v>459.81984684353574</v>
      </c>
      <c r="F26">
        <f t="shared" si="22"/>
        <v>7890.8334324831385</v>
      </c>
      <c r="G26">
        <f>F26+E21</f>
        <v>8230.1968023989175</v>
      </c>
      <c r="H26">
        <f>G26/3.141592654</f>
        <v>2619.7530070997286</v>
      </c>
      <c r="T26">
        <v>2099.7784683726268</v>
      </c>
      <c r="U26">
        <v>196.70840807090522</v>
      </c>
    </row>
    <row r="27" spans="1:23">
      <c r="A27" s="1"/>
      <c r="T27">
        <v>2689.283409598836</v>
      </c>
      <c r="U27">
        <v>247.71323546346818</v>
      </c>
    </row>
    <row r="28" spans="1:23">
      <c r="A28" s="24" t="s">
        <v>18</v>
      </c>
      <c r="B28" t="s">
        <v>36</v>
      </c>
      <c r="C28">
        <v>161.74331828467601</v>
      </c>
      <c r="D28">
        <f t="shared" ref="D28" si="23">1*C28</f>
        <v>161.74331828467601</v>
      </c>
      <c r="E28">
        <f>D28+E23</f>
        <v>523.04049997485231</v>
      </c>
      <c r="F28">
        <f t="shared" ref="F28" si="24">16.5*C28</f>
        <v>2668.7647516971542</v>
      </c>
      <c r="G28">
        <f>F28+E23</f>
        <v>3030.0619333873306</v>
      </c>
      <c r="H28">
        <f t="shared" ref="H28" si="25">G28/1.002874915</f>
        <v>3021.3757349662401</v>
      </c>
      <c r="J28" s="11" t="s">
        <v>27</v>
      </c>
      <c r="K28" s="6" t="s">
        <v>23</v>
      </c>
      <c r="L28" s="15"/>
      <c r="M28" s="15" t="s">
        <v>36</v>
      </c>
      <c r="N28" s="14" t="s">
        <v>24</v>
      </c>
      <c r="O28" s="13" t="s">
        <v>6</v>
      </c>
      <c r="P28" s="13" t="s">
        <v>5</v>
      </c>
      <c r="Q28" s="16" t="s">
        <v>22</v>
      </c>
      <c r="R28" s="16" t="s">
        <v>28</v>
      </c>
      <c r="T28">
        <v>3263.9238624359523</v>
      </c>
      <c r="U28">
        <v>246.95979067248462</v>
      </c>
    </row>
    <row r="29" spans="1:23">
      <c r="A29" s="24"/>
      <c r="B29" t="s">
        <v>24</v>
      </c>
      <c r="C29">
        <v>246.46450594218541</v>
      </c>
      <c r="D29">
        <f>1*C29</f>
        <v>246.46450594218541</v>
      </c>
      <c r="E29">
        <f>D29+D24</f>
        <v>446.88974662836722</v>
      </c>
      <c r="F29">
        <f t="shared" ref="F29" si="26">21.56*C29</f>
        <v>5313.7747481135175</v>
      </c>
      <c r="G29">
        <f>F29+E24</f>
        <v>5681.9787096782657</v>
      </c>
      <c r="H29">
        <f t="shared" ref="H29" si="27">G29/1.767145868</f>
        <v>3215.3422151330101</v>
      </c>
      <c r="J29" s="12">
        <v>0.70710678118654802</v>
      </c>
      <c r="K29" s="6">
        <v>0.5</v>
      </c>
      <c r="M29">
        <v>243.1778573016729</v>
      </c>
      <c r="N29">
        <v>202.93363289228211</v>
      </c>
      <c r="O29">
        <v>188.81573721317542</v>
      </c>
      <c r="P29">
        <v>177.91874407487057</v>
      </c>
      <c r="Q29">
        <f t="shared" ref="Q29:Q34" si="28">AVERAGE(N29:P29,M29)</f>
        <v>203.21149287050025</v>
      </c>
      <c r="R29">
        <f t="shared" ref="R29:R34" si="29">_xlfn.STDEV.P(N29:P29,M29)</f>
        <v>24.720176044058697</v>
      </c>
      <c r="T29">
        <v>3754.5045782438929</v>
      </c>
      <c r="U29">
        <v>223.78209172143764</v>
      </c>
    </row>
    <row r="30" spans="1:23">
      <c r="A30" s="24"/>
      <c r="B30" t="s">
        <v>6</v>
      </c>
      <c r="C30">
        <v>358.85009314938151</v>
      </c>
      <c r="D30">
        <f t="shared" si="12"/>
        <v>358.85009314938151</v>
      </c>
      <c r="E30">
        <f>D30+D25</f>
        <v>663.21247321094256</v>
      </c>
      <c r="F30">
        <f t="shared" ref="F30:F31" si="30">30.66*C30</f>
        <v>11002.343855960036</v>
      </c>
      <c r="G30">
        <f>F30+E25</f>
        <v>11543.564599795332</v>
      </c>
      <c r="H30">
        <f t="shared" ref="H30:H31" si="31">G30/3.141592654</f>
        <v>3674.4307334363061</v>
      </c>
      <c r="J30" s="12">
        <v>1</v>
      </c>
      <c r="K30" s="6">
        <v>1</v>
      </c>
      <c r="M30">
        <v>576.09725415016385</v>
      </c>
      <c r="N30">
        <v>606.15957837945507</v>
      </c>
      <c r="O30">
        <v>569.86338429269347</v>
      </c>
      <c r="P30">
        <v>511.19432798490993</v>
      </c>
      <c r="Q30">
        <f t="shared" si="28"/>
        <v>565.82863620180558</v>
      </c>
      <c r="R30">
        <f t="shared" si="29"/>
        <v>34.39918690173478</v>
      </c>
    </row>
    <row r="31" spans="1:23">
      <c r="A31" s="24"/>
      <c r="B31" t="s">
        <v>5</v>
      </c>
      <c r="C31">
        <v>307.2102144173441</v>
      </c>
      <c r="D31">
        <f t="shared" si="12"/>
        <v>307.2102144173441</v>
      </c>
      <c r="E31">
        <f>D31+D26</f>
        <v>564.57594933199312</v>
      </c>
      <c r="F31">
        <f t="shared" si="30"/>
        <v>9419.0651740357698</v>
      </c>
      <c r="G31">
        <f>F31+E26</f>
        <v>9878.8850208793046</v>
      </c>
      <c r="H31">
        <f t="shared" si="31"/>
        <v>3144.5467662082533</v>
      </c>
      <c r="J31" s="12">
        <v>1.4142135623730951</v>
      </c>
      <c r="K31" s="6">
        <v>2</v>
      </c>
      <c r="M31">
        <v>1271.2918522048078</v>
      </c>
      <c r="N31">
        <v>1534.7343815858462</v>
      </c>
      <c r="O31">
        <v>1621.8691516688882</v>
      </c>
      <c r="P31">
        <v>1358.4363224853537</v>
      </c>
      <c r="Q31">
        <f t="shared" si="28"/>
        <v>1446.5829269862238</v>
      </c>
      <c r="R31">
        <f t="shared" si="29"/>
        <v>138.73781414469127</v>
      </c>
    </row>
    <row r="32" spans="1:23">
      <c r="A32" s="1"/>
      <c r="J32" s="12">
        <v>1.7320508075688772</v>
      </c>
      <c r="K32" s="6">
        <v>3</v>
      </c>
      <c r="M32">
        <v>1837.0282901913943</v>
      </c>
      <c r="N32">
        <v>2144.120704286298</v>
      </c>
      <c r="O32">
        <v>2382.0747365335869</v>
      </c>
      <c r="P32">
        <v>2035.8901424792273</v>
      </c>
      <c r="Q32">
        <f t="shared" si="28"/>
        <v>2099.7784683726268</v>
      </c>
      <c r="R32">
        <f t="shared" si="29"/>
        <v>196.70840807090522</v>
      </c>
    </row>
    <row r="33" spans="1:18">
      <c r="A33" s="24" t="s">
        <v>19</v>
      </c>
      <c r="B33" t="s">
        <v>36</v>
      </c>
      <c r="C33">
        <v>182.42176450753871</v>
      </c>
      <c r="D33">
        <f t="shared" ref="D33" si="32">1*C33</f>
        <v>182.42176450753871</v>
      </c>
      <c r="E33">
        <f>D33+E28</f>
        <v>705.46226448239099</v>
      </c>
      <c r="F33">
        <f t="shared" ref="F33" si="33">16.5*C33</f>
        <v>3009.9591143743887</v>
      </c>
      <c r="G33">
        <f>F33+E28</f>
        <v>3532.9996143492408</v>
      </c>
      <c r="H33">
        <f t="shared" ref="H33" si="34">G33/1.002874915</f>
        <v>3522.871657777222</v>
      </c>
      <c r="J33" s="12">
        <v>2</v>
      </c>
      <c r="K33" s="6">
        <v>4</v>
      </c>
      <c r="M33">
        <v>2429.8114956441436</v>
      </c>
      <c r="N33">
        <v>2609.6883009799099</v>
      </c>
      <c r="O33">
        <v>3097.8808346715605</v>
      </c>
      <c r="P33">
        <v>2619.7530070997286</v>
      </c>
      <c r="Q33">
        <f t="shared" si="28"/>
        <v>2689.283409598836</v>
      </c>
      <c r="R33">
        <f t="shared" si="29"/>
        <v>247.71323546346818</v>
      </c>
    </row>
    <row r="34" spans="1:18">
      <c r="A34" s="24"/>
      <c r="B34" t="s">
        <v>24</v>
      </c>
      <c r="C34">
        <v>290.69522085583333</v>
      </c>
      <c r="D34">
        <f>1*C34</f>
        <v>290.69522085583333</v>
      </c>
      <c r="E34">
        <f>D34+D29</f>
        <v>537.15972679801871</v>
      </c>
      <c r="F34">
        <f t="shared" ref="F34" si="35">21.56*C34</f>
        <v>6267.3889616517663</v>
      </c>
      <c r="G34">
        <f>F34+E29</f>
        <v>6714.2787082801333</v>
      </c>
      <c r="H34">
        <f t="shared" ref="H34" si="36">G34/1.767145868</f>
        <v>3799.5045173487247</v>
      </c>
      <c r="J34" s="12">
        <v>2.2360679774997898</v>
      </c>
      <c r="K34" s="6">
        <v>5</v>
      </c>
      <c r="M34">
        <v>3021.3757349662401</v>
      </c>
      <c r="N34">
        <v>3215.3422151330101</v>
      </c>
      <c r="O34">
        <v>3674.4307334363061</v>
      </c>
      <c r="P34">
        <v>3144.5467662082533</v>
      </c>
      <c r="Q34">
        <f t="shared" si="28"/>
        <v>3263.9238624359523</v>
      </c>
      <c r="R34">
        <f t="shared" si="29"/>
        <v>246.95979067248462</v>
      </c>
    </row>
    <row r="35" spans="1:18">
      <c r="A35" s="24"/>
      <c r="B35" t="s">
        <v>6</v>
      </c>
      <c r="C35">
        <v>398.480511885613</v>
      </c>
      <c r="D35">
        <f t="shared" si="12"/>
        <v>398.480511885613</v>
      </c>
      <c r="E35">
        <f>D35+D30</f>
        <v>757.33060503499451</v>
      </c>
      <c r="F35">
        <f t="shared" ref="F35:F36" si="37">30.66*C35</f>
        <v>12217.412494412894</v>
      </c>
      <c r="G35">
        <f>F35+E30</f>
        <v>12880.624967623837</v>
      </c>
      <c r="H35">
        <f t="shared" ref="H35:H36" si="38">G35/3.141592654</f>
        <v>4100.0302668850827</v>
      </c>
      <c r="J35" s="12">
        <v>2.4494897427831779</v>
      </c>
      <c r="K35" s="6">
        <v>6</v>
      </c>
      <c r="L35" s="17"/>
      <c r="M35" s="17">
        <v>3522.871657777222</v>
      </c>
      <c r="N35" s="17">
        <v>3799.5045173487247</v>
      </c>
      <c r="O35" s="17">
        <v>4100.0302668850827</v>
      </c>
      <c r="P35" s="17">
        <v>3595.6118709645416</v>
      </c>
      <c r="Q35" s="17">
        <f>AVERAGE(N35:P35,M35)</f>
        <v>3754.5045782438929</v>
      </c>
      <c r="R35" s="17">
        <f>_xlfn.STDEV.P(N35:P35,M35)</f>
        <v>223.78209172143764</v>
      </c>
    </row>
    <row r="36" spans="1:18">
      <c r="A36" s="24"/>
      <c r="B36" t="s">
        <v>5</v>
      </c>
      <c r="C36">
        <v>350.01212952137661</v>
      </c>
      <c r="D36">
        <f t="shared" si="12"/>
        <v>350.01212952137661</v>
      </c>
      <c r="E36">
        <f>D36+D31</f>
        <v>657.22234393872077</v>
      </c>
      <c r="F36">
        <f t="shared" si="37"/>
        <v>10731.371891125407</v>
      </c>
      <c r="G36">
        <f>F36+E31</f>
        <v>11295.9478404574</v>
      </c>
      <c r="H36">
        <f t="shared" si="38"/>
        <v>3595.6118709645416</v>
      </c>
    </row>
  </sheetData>
  <mergeCells count="8">
    <mergeCell ref="A23:A26"/>
    <mergeCell ref="A28:A31"/>
    <mergeCell ref="A33:A36"/>
    <mergeCell ref="A1:A2"/>
    <mergeCell ref="A3:A6"/>
    <mergeCell ref="A8:A11"/>
    <mergeCell ref="A13:A16"/>
    <mergeCell ref="A18:A21"/>
  </mergeCells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7E98-E272-49C1-AF96-3EE27CC12C7A}">
  <dimension ref="A1:W36"/>
  <sheetViews>
    <sheetView topLeftCell="E2" workbookViewId="0">
      <selection activeCell="H40" sqref="H40"/>
    </sheetView>
  </sheetViews>
  <sheetFormatPr defaultRowHeight="14.5"/>
  <cols>
    <col min="3" max="3" width="21.26953125" customWidth="1"/>
    <col min="4" max="4" width="31.7265625" customWidth="1"/>
    <col min="5" max="5" width="28.26953125" customWidth="1"/>
    <col min="6" max="6" width="28.81640625" customWidth="1"/>
    <col min="7" max="7" width="25.81640625" customWidth="1"/>
    <col min="8" max="8" width="28.54296875" customWidth="1"/>
    <col min="10" max="10" width="15.08984375" customWidth="1"/>
  </cols>
  <sheetData>
    <row r="1" spans="1:23" ht="29">
      <c r="A1" s="24" t="s">
        <v>20</v>
      </c>
      <c r="B1" s="1"/>
      <c r="C1" s="2" t="s">
        <v>4</v>
      </c>
      <c r="D1" s="1"/>
      <c r="E1" s="3" t="s">
        <v>2</v>
      </c>
      <c r="F1" s="5" t="s">
        <v>30</v>
      </c>
      <c r="G1" s="1"/>
      <c r="H1" s="1"/>
    </row>
    <row r="2" spans="1:23" ht="151.5" customHeight="1">
      <c r="A2" s="24"/>
      <c r="B2" s="3"/>
      <c r="C2" s="4" t="s">
        <v>0</v>
      </c>
      <c r="D2" s="3" t="s">
        <v>8</v>
      </c>
      <c r="E2" s="3" t="s">
        <v>1</v>
      </c>
      <c r="F2" s="3" t="s">
        <v>14</v>
      </c>
      <c r="G2" s="3" t="s">
        <v>3</v>
      </c>
      <c r="H2" s="3" t="s">
        <v>15</v>
      </c>
    </row>
    <row r="3" spans="1:23">
      <c r="A3" s="25" t="s">
        <v>9</v>
      </c>
      <c r="B3" t="s">
        <v>36</v>
      </c>
      <c r="C3">
        <v>21.010926530371961</v>
      </c>
      <c r="D3">
        <f>1*C3</f>
        <v>21.010926530371961</v>
      </c>
      <c r="E3">
        <f>D3</f>
        <v>21.010926530371961</v>
      </c>
      <c r="F3">
        <f>16.5*C3</f>
        <v>346.68028775113737</v>
      </c>
      <c r="G3">
        <f>F3</f>
        <v>346.68028775113737</v>
      </c>
      <c r="H3">
        <f>G3/1.002874915</f>
        <v>345.68646853744207</v>
      </c>
      <c r="K3" t="s">
        <v>21</v>
      </c>
    </row>
    <row r="4" spans="1:23">
      <c r="A4" s="25"/>
      <c r="B4" t="s">
        <v>24</v>
      </c>
      <c r="C4">
        <v>14.054573230371449</v>
      </c>
      <c r="D4">
        <f t="shared" ref="D4:D16" si="0">1*C4</f>
        <v>14.054573230371449</v>
      </c>
      <c r="E4">
        <f>D4</f>
        <v>14.054573230371449</v>
      </c>
      <c r="F4">
        <f>21.56*C4</f>
        <v>303.01659884680845</v>
      </c>
      <c r="G4">
        <f>F4</f>
        <v>303.01659884680845</v>
      </c>
      <c r="H4">
        <f>G4/1.767145868</f>
        <v>171.47231834899577</v>
      </c>
      <c r="J4" s="6" t="s">
        <v>23</v>
      </c>
      <c r="K4" s="6">
        <v>0.5</v>
      </c>
      <c r="L4" s="6">
        <v>1</v>
      </c>
      <c r="M4" s="6">
        <v>2</v>
      </c>
      <c r="N4" s="6">
        <v>3</v>
      </c>
      <c r="O4" s="6">
        <v>4</v>
      </c>
      <c r="P4" s="6">
        <v>5</v>
      </c>
      <c r="Q4" s="6">
        <v>6</v>
      </c>
    </row>
    <row r="5" spans="1:23">
      <c r="A5" s="25"/>
      <c r="B5" t="s">
        <v>6</v>
      </c>
      <c r="C5">
        <v>15.44939092861199</v>
      </c>
      <c r="D5">
        <f t="shared" si="0"/>
        <v>15.44939092861199</v>
      </c>
      <c r="E5">
        <f>D5</f>
        <v>15.44939092861199</v>
      </c>
      <c r="F5">
        <f>30.66*C5</f>
        <v>473.6783258712436</v>
      </c>
      <c r="G5">
        <f>F5</f>
        <v>473.6783258712436</v>
      </c>
      <c r="H5">
        <f>G5/3.141592654</f>
        <v>150.77649397611674</v>
      </c>
      <c r="J5" s="8"/>
      <c r="Q5" s="17"/>
    </row>
    <row r="6" spans="1:23">
      <c r="A6" s="25"/>
      <c r="B6" t="s">
        <v>5</v>
      </c>
      <c r="C6">
        <v>22.21843552323071</v>
      </c>
      <c r="D6">
        <f t="shared" si="0"/>
        <v>22.21843552323071</v>
      </c>
      <c r="E6">
        <f>D6</f>
        <v>22.21843552323071</v>
      </c>
      <c r="F6">
        <f>30.66*C6</f>
        <v>681.21723314225358</v>
      </c>
      <c r="G6">
        <f>F6</f>
        <v>681.21723314225358</v>
      </c>
      <c r="H6">
        <f>G6/3.141592654</f>
        <v>216.83817991963434</v>
      </c>
      <c r="J6" s="8" t="s">
        <v>36</v>
      </c>
      <c r="K6">
        <v>345.68646853744207</v>
      </c>
      <c r="L6">
        <v>557.81039054146231</v>
      </c>
      <c r="M6">
        <v>1177.0718385264661</v>
      </c>
      <c r="N6">
        <v>1741.3005758227318</v>
      </c>
      <c r="O6">
        <v>2253.7860351667887</v>
      </c>
      <c r="P6">
        <v>2932.7031994229274</v>
      </c>
      <c r="Q6" s="17">
        <v>3481.7044408324541</v>
      </c>
    </row>
    <row r="7" spans="1:23">
      <c r="A7" s="1"/>
      <c r="J7" s="7" t="s">
        <v>24</v>
      </c>
      <c r="K7">
        <v>171.47231834899577</v>
      </c>
      <c r="L7">
        <v>628.45578618984996</v>
      </c>
      <c r="M7">
        <v>1636.8747584633779</v>
      </c>
      <c r="N7">
        <v>2321.7169482178842</v>
      </c>
      <c r="O7">
        <v>2709.6434531145464</v>
      </c>
      <c r="P7">
        <v>3105.3668963952941</v>
      </c>
      <c r="Q7" s="17">
        <v>3992.2382738277061</v>
      </c>
    </row>
    <row r="8" spans="1:23">
      <c r="A8" s="25" t="s">
        <v>10</v>
      </c>
      <c r="B8" t="s">
        <v>36</v>
      </c>
      <c r="C8">
        <v>32.630492210303871</v>
      </c>
      <c r="D8">
        <f t="shared" si="0"/>
        <v>32.630492210303871</v>
      </c>
      <c r="E8">
        <f>D8+E3</f>
        <v>53.641418740675832</v>
      </c>
      <c r="F8">
        <f>16.5*C8</f>
        <v>538.40312147001384</v>
      </c>
      <c r="G8">
        <f>F8+E3</f>
        <v>559.41404800038583</v>
      </c>
      <c r="H8">
        <f t="shared" ref="H8" si="1">G8/1.002874915</f>
        <v>557.81039054146231</v>
      </c>
      <c r="J8" s="8" t="s">
        <v>6</v>
      </c>
      <c r="K8">
        <v>150.77649397611674</v>
      </c>
      <c r="L8">
        <v>699.7612101254108</v>
      </c>
      <c r="M8">
        <v>1568.4992951832733</v>
      </c>
      <c r="N8">
        <v>2313.5907960875488</v>
      </c>
      <c r="O8">
        <v>2944.1487778819996</v>
      </c>
      <c r="P8">
        <v>3572.6534714274649</v>
      </c>
      <c r="Q8" s="17">
        <v>4165.4873300905983</v>
      </c>
    </row>
    <row r="9" spans="1:23">
      <c r="A9" s="25"/>
      <c r="B9" t="s">
        <v>24</v>
      </c>
      <c r="C9">
        <v>50.858927298502479</v>
      </c>
      <c r="D9">
        <f t="shared" si="0"/>
        <v>50.858927298502479</v>
      </c>
      <c r="E9">
        <f>D9+D4</f>
        <v>64.913500528873925</v>
      </c>
      <c r="F9">
        <f>21.56*C9</f>
        <v>1096.5184725557133</v>
      </c>
      <c r="G9">
        <f>F9+E4</f>
        <v>1110.5730457860848</v>
      </c>
      <c r="H9">
        <f t="shared" ref="H9" si="2">G9/1.767145868</f>
        <v>628.45578618984996</v>
      </c>
      <c r="J9" s="8" t="s">
        <v>5</v>
      </c>
      <c r="K9">
        <v>216.83817991963434</v>
      </c>
      <c r="L9">
        <v>543.45919548598374</v>
      </c>
      <c r="M9">
        <v>1348.1996347249997</v>
      </c>
      <c r="N9">
        <v>2039.9436568461811</v>
      </c>
      <c r="O9">
        <v>2625.3088198857936</v>
      </c>
      <c r="P9">
        <v>3037.1613050164974</v>
      </c>
      <c r="Q9" s="17">
        <v>3802.2247267771618</v>
      </c>
    </row>
    <row r="10" spans="1:23">
      <c r="A10" s="25"/>
      <c r="B10" t="s">
        <v>6</v>
      </c>
      <c r="C10">
        <v>71.197497924185555</v>
      </c>
      <c r="D10">
        <f t="shared" si="0"/>
        <v>71.197497924185555</v>
      </c>
      <c r="E10">
        <f>D10+D5</f>
        <v>86.646888852797545</v>
      </c>
      <c r="F10">
        <f>30.66*C10</f>
        <v>2182.9152863555291</v>
      </c>
      <c r="G10">
        <f>F10+E5</f>
        <v>2198.3646772841412</v>
      </c>
      <c r="H10">
        <f t="shared" ref="H10:H11" si="3">G10/3.141592654</f>
        <v>699.7612101254108</v>
      </c>
      <c r="J10" s="9" t="s">
        <v>22</v>
      </c>
      <c r="K10">
        <f t="shared" ref="K10:P10" si="4">AVERAGE(K7:K9,K6)</f>
        <v>221.19336519554724</v>
      </c>
      <c r="L10">
        <f t="shared" si="4"/>
        <v>607.37164558567667</v>
      </c>
      <c r="M10">
        <f t="shared" si="4"/>
        <v>1432.6613817245293</v>
      </c>
      <c r="N10">
        <f t="shared" si="4"/>
        <v>2104.1379942435865</v>
      </c>
      <c r="O10">
        <f t="shared" si="4"/>
        <v>2633.2217715122824</v>
      </c>
      <c r="P10">
        <f t="shared" si="4"/>
        <v>3161.9712180655461</v>
      </c>
      <c r="Q10">
        <f>AVERAGE(Q7:Q9,Q6)</f>
        <v>3860.4136928819803</v>
      </c>
    </row>
    <row r="11" spans="1:23">
      <c r="A11" s="25"/>
      <c r="B11" t="s">
        <v>5</v>
      </c>
      <c r="C11">
        <v>54.961153971437888</v>
      </c>
      <c r="D11">
        <f t="shared" si="0"/>
        <v>54.961153971437888</v>
      </c>
      <c r="E11">
        <f>D11+D6</f>
        <v>77.179589494668591</v>
      </c>
      <c r="F11">
        <f>30.66*C11</f>
        <v>1685.1089807642857</v>
      </c>
      <c r="G11">
        <f>F11+E6</f>
        <v>1707.3274162875164</v>
      </c>
      <c r="H11">
        <f t="shared" si="3"/>
        <v>543.45919548598374</v>
      </c>
      <c r="J11" s="9" t="s">
        <v>26</v>
      </c>
      <c r="K11">
        <f t="shared" ref="K11:P11" si="5">_xlfn.STDEV.P(K7:K9,K6)</f>
        <v>75.743347348684779</v>
      </c>
      <c r="L11">
        <f t="shared" si="5"/>
        <v>62.292639814350473</v>
      </c>
      <c r="M11">
        <f t="shared" si="5"/>
        <v>182.08160483030326</v>
      </c>
      <c r="N11">
        <f t="shared" si="5"/>
        <v>238.21365545085771</v>
      </c>
      <c r="O11">
        <f t="shared" si="5"/>
        <v>248.26899198673715</v>
      </c>
      <c r="P11">
        <f t="shared" si="5"/>
        <v>244.95167953383984</v>
      </c>
      <c r="Q11">
        <f>_xlfn.STDEV.P(Q7:Q9,Q6)</f>
        <v>253.60121136612841</v>
      </c>
    </row>
    <row r="12" spans="1:23">
      <c r="A12" s="1"/>
    </row>
    <row r="13" spans="1:23">
      <c r="A13" s="25" t="s">
        <v>11</v>
      </c>
      <c r="B13" t="s">
        <v>36</v>
      </c>
      <c r="C13">
        <v>68.291781895178644</v>
      </c>
      <c r="D13">
        <f>1*C13</f>
        <v>68.291781895178644</v>
      </c>
      <c r="E13">
        <f>D13+E8</f>
        <v>121.93320063585448</v>
      </c>
      <c r="F13">
        <f t="shared" ref="F13" si="6">16.5*C13</f>
        <v>1126.8144012704477</v>
      </c>
      <c r="G13">
        <f>F13+E8</f>
        <v>1180.4558200111235</v>
      </c>
      <c r="H13">
        <f t="shared" ref="H13" si="7">G13/1.002874915</f>
        <v>1177.0718385264661</v>
      </c>
    </row>
    <row r="14" spans="1:23">
      <c r="A14" s="25"/>
      <c r="B14" t="s">
        <v>24</v>
      </c>
      <c r="C14">
        <v>131.15412640645559</v>
      </c>
      <c r="D14">
        <f>1*C14</f>
        <v>131.15412640645559</v>
      </c>
      <c r="E14">
        <f>D14+D9</f>
        <v>182.01305370495805</v>
      </c>
      <c r="F14">
        <f t="shared" ref="F14" si="8">21.56*C14</f>
        <v>2827.6829653231825</v>
      </c>
      <c r="G14">
        <f>F14+E9</f>
        <v>2892.5964658520566</v>
      </c>
      <c r="H14">
        <f t="shared" ref="H14" si="9">G14/1.767145868</f>
        <v>1636.8747584633779</v>
      </c>
    </row>
    <row r="15" spans="1:23">
      <c r="A15" s="25"/>
      <c r="B15" t="s">
        <v>6</v>
      </c>
      <c r="C15">
        <v>157.89102983363179</v>
      </c>
      <c r="D15">
        <f t="shared" si="0"/>
        <v>157.89102983363179</v>
      </c>
      <c r="E15">
        <f>D15+D10</f>
        <v>229.08852775781736</v>
      </c>
      <c r="F15">
        <f t="shared" ref="F15:F16" si="10">30.66*C15</f>
        <v>4840.938974699151</v>
      </c>
      <c r="G15">
        <f>F15+E10</f>
        <v>4927.5858635519489</v>
      </c>
      <c r="H15">
        <f t="shared" ref="H15:H16" si="11">G15/3.141592654</f>
        <v>1568.4992951832733</v>
      </c>
    </row>
    <row r="16" spans="1:23">
      <c r="A16" s="25"/>
      <c r="B16" t="s">
        <v>5</v>
      </c>
      <c r="C16">
        <v>135.62669533864559</v>
      </c>
      <c r="D16">
        <f t="shared" si="0"/>
        <v>135.62669533864559</v>
      </c>
      <c r="E16">
        <f>D16+D11</f>
        <v>190.58784931008347</v>
      </c>
      <c r="F16">
        <f t="shared" si="10"/>
        <v>4158.3144790828737</v>
      </c>
      <c r="G16">
        <f>F16+E11</f>
        <v>4235.4940685775427</v>
      </c>
      <c r="H16">
        <f t="shared" si="11"/>
        <v>1348.1996347249997</v>
      </c>
      <c r="T16" s="17"/>
      <c r="U16" s="17"/>
      <c r="V16" s="17"/>
      <c r="W16" s="17"/>
    </row>
    <row r="17" spans="1:23">
      <c r="A17" s="1"/>
      <c r="T17" s="17"/>
      <c r="U17" s="17"/>
      <c r="V17" s="17"/>
      <c r="W17" s="17"/>
    </row>
    <row r="18" spans="1:23">
      <c r="A18" s="24" t="s">
        <v>16</v>
      </c>
      <c r="B18" t="s">
        <v>36</v>
      </c>
      <c r="C18">
        <v>98.446876747382944</v>
      </c>
      <c r="D18">
        <f t="shared" ref="D18:D36" si="12">1*C18</f>
        <v>98.446876747382944</v>
      </c>
      <c r="E18">
        <f>D18+E13</f>
        <v>220.38007738323742</v>
      </c>
      <c r="F18">
        <f t="shared" ref="F18" si="13">16.5*C18</f>
        <v>1624.3734663318187</v>
      </c>
      <c r="G18">
        <f>F18+E13</f>
        <v>1746.3066669676732</v>
      </c>
      <c r="H18">
        <f t="shared" ref="H18" si="14">G18/1.002874915</f>
        <v>1741.3005758227318</v>
      </c>
    </row>
    <row r="19" spans="1:23">
      <c r="A19" s="24"/>
      <c r="B19" t="s">
        <v>24</v>
      </c>
      <c r="C19">
        <v>181.85526243060511</v>
      </c>
      <c r="D19">
        <f t="shared" si="12"/>
        <v>181.85526243060511</v>
      </c>
      <c r="E19">
        <f>D19+D14</f>
        <v>313.00938883706067</v>
      </c>
      <c r="F19">
        <f t="shared" ref="F19" si="15">21.56*C19</f>
        <v>3920.7994580038458</v>
      </c>
      <c r="G19">
        <f>F19+E14</f>
        <v>4102.8125117088039</v>
      </c>
      <c r="H19">
        <f t="shared" ref="H19" si="16">G19/1.767145868</f>
        <v>2321.7169482178842</v>
      </c>
    </row>
    <row r="20" spans="1:23">
      <c r="A20" s="24"/>
      <c r="B20" t="s">
        <v>6</v>
      </c>
      <c r="C20">
        <v>229.59136730570251</v>
      </c>
      <c r="D20">
        <f t="shared" si="12"/>
        <v>229.59136730570251</v>
      </c>
      <c r="E20">
        <f>D20+D15</f>
        <v>387.4823971393343</v>
      </c>
      <c r="F20">
        <f t="shared" ref="F20:F21" si="17">30.66*C20</f>
        <v>7039.2713215928388</v>
      </c>
      <c r="G20">
        <f>F20+E15</f>
        <v>7268.3598493506561</v>
      </c>
      <c r="H20">
        <f t="shared" ref="H20:H21" si="18">G20/3.141592654</f>
        <v>2313.5907960875488</v>
      </c>
    </row>
    <row r="21" spans="1:23">
      <c r="A21" s="24"/>
      <c r="B21" t="s">
        <v>5</v>
      </c>
      <c r="C21">
        <v>202.8077024661375</v>
      </c>
      <c r="D21">
        <f t="shared" si="12"/>
        <v>202.8077024661375</v>
      </c>
      <c r="E21">
        <f>D21+D16</f>
        <v>338.43439780478309</v>
      </c>
      <c r="F21">
        <f t="shared" si="17"/>
        <v>6218.0841576117755</v>
      </c>
      <c r="G21">
        <f>F21+E16</f>
        <v>6408.6720069218591</v>
      </c>
      <c r="H21">
        <f t="shared" si="18"/>
        <v>2039.9436568461811</v>
      </c>
    </row>
    <row r="22" spans="1:23">
      <c r="A22" s="1"/>
      <c r="T22" t="s">
        <v>22</v>
      </c>
      <c r="U22" t="s">
        <v>26</v>
      </c>
    </row>
    <row r="23" spans="1:23">
      <c r="A23" s="24" t="s">
        <v>17</v>
      </c>
      <c r="B23" t="s">
        <v>36</v>
      </c>
      <c r="C23">
        <v>123.6294182462329</v>
      </c>
      <c r="D23">
        <f t="shared" ref="D23:D24" si="19">1*C23</f>
        <v>123.6294182462329</v>
      </c>
      <c r="E23">
        <f>D23+E18</f>
        <v>344.00949562947034</v>
      </c>
      <c r="F23">
        <f t="shared" ref="F23" si="20">16.5*C23</f>
        <v>2039.8854010628429</v>
      </c>
      <c r="G23">
        <f>F23+E18</f>
        <v>2260.2654784460801</v>
      </c>
      <c r="H23">
        <f>G23/1.002874915</f>
        <v>2253.7860351667887</v>
      </c>
      <c r="T23">
        <v>221.19336519554724</v>
      </c>
      <c r="U23">
        <v>75.743347348684779</v>
      </c>
    </row>
    <row r="24" spans="1:23">
      <c r="A24" s="24"/>
      <c r="B24" t="s">
        <v>24</v>
      </c>
      <c r="C24">
        <v>207.5754101617608</v>
      </c>
      <c r="D24">
        <f t="shared" si="19"/>
        <v>207.5754101617608</v>
      </c>
      <c r="E24">
        <f>D24+D19</f>
        <v>389.43067259236591</v>
      </c>
      <c r="F24">
        <f t="shared" ref="F24" si="21">21.56*C24</f>
        <v>4475.3258430875621</v>
      </c>
      <c r="G24">
        <f>F24+E19</f>
        <v>4788.3352319246223</v>
      </c>
      <c r="H24">
        <f>G24/1.767145868</f>
        <v>2709.6434531145464</v>
      </c>
      <c r="T24">
        <v>607.37164558567667</v>
      </c>
      <c r="U24">
        <v>62.292639814350473</v>
      </c>
    </row>
    <row r="25" spans="1:23">
      <c r="A25" s="24"/>
      <c r="B25" t="s">
        <v>6</v>
      </c>
      <c r="C25">
        <v>289.03567435544142</v>
      </c>
      <c r="D25">
        <f t="shared" si="12"/>
        <v>289.03567435544142</v>
      </c>
      <c r="E25">
        <f>D25+D20</f>
        <v>518.62704166114395</v>
      </c>
      <c r="F25">
        <f t="shared" ref="F25:F26" si="22">30.66*C25</f>
        <v>8861.833775737834</v>
      </c>
      <c r="G25">
        <f>F25+E20</f>
        <v>9249.3161728771684</v>
      </c>
      <c r="H25">
        <f>G25/3.141592654</f>
        <v>2944.1487778819996</v>
      </c>
      <c r="T25">
        <v>1432.6613817245293</v>
      </c>
      <c r="U25">
        <v>182.08160483030326</v>
      </c>
    </row>
    <row r="26" spans="1:23">
      <c r="A26" s="24"/>
      <c r="B26" t="s">
        <v>5</v>
      </c>
      <c r="C26">
        <v>257.9653132821212</v>
      </c>
      <c r="D26">
        <f t="shared" si="12"/>
        <v>257.9653132821212</v>
      </c>
      <c r="E26">
        <f>D26+D21</f>
        <v>460.77301574825867</v>
      </c>
      <c r="F26">
        <f t="shared" si="22"/>
        <v>7909.216505229836</v>
      </c>
      <c r="G26">
        <f>F26+E21</f>
        <v>8247.6509030346188</v>
      </c>
      <c r="H26">
        <f>G26/3.141592654</f>
        <v>2625.3088198857936</v>
      </c>
      <c r="T26">
        <v>2104.1379942435865</v>
      </c>
      <c r="U26">
        <v>238.21365545085771</v>
      </c>
    </row>
    <row r="27" spans="1:23">
      <c r="A27" s="1"/>
      <c r="T27">
        <v>2633.2217715122824</v>
      </c>
      <c r="U27">
        <v>248.26899198673715</v>
      </c>
    </row>
    <row r="28" spans="1:23">
      <c r="A28" s="24" t="s">
        <v>18</v>
      </c>
      <c r="B28" t="s">
        <v>36</v>
      </c>
      <c r="C28">
        <v>157.4015137098198</v>
      </c>
      <c r="D28">
        <f t="shared" ref="D28" si="23">1*C28</f>
        <v>157.4015137098198</v>
      </c>
      <c r="E28">
        <f>D28+E23</f>
        <v>501.4110093392901</v>
      </c>
      <c r="F28">
        <f t="shared" ref="F28" si="24">16.5*C28</f>
        <v>2597.1249762120265</v>
      </c>
      <c r="G28">
        <f>F28+E23</f>
        <v>2941.1344718414966</v>
      </c>
      <c r="H28">
        <f t="shared" ref="H28" si="25">G28/1.002874915</f>
        <v>2932.7031994229274</v>
      </c>
      <c r="J28" s="11" t="s">
        <v>27</v>
      </c>
      <c r="K28" s="6" t="s">
        <v>23</v>
      </c>
      <c r="L28" s="15" t="s">
        <v>13</v>
      </c>
      <c r="M28" s="15" t="s">
        <v>12</v>
      </c>
      <c r="N28" s="14" t="s">
        <v>24</v>
      </c>
      <c r="O28" s="13" t="s">
        <v>6</v>
      </c>
      <c r="P28" s="13" t="s">
        <v>5</v>
      </c>
      <c r="Q28" s="16" t="s">
        <v>22</v>
      </c>
      <c r="R28" s="16" t="s">
        <v>28</v>
      </c>
      <c r="T28">
        <v>3161.9712180655461</v>
      </c>
      <c r="U28">
        <v>244.95167953383984</v>
      </c>
    </row>
    <row r="29" spans="1:23">
      <c r="A29" s="24"/>
      <c r="B29" t="s">
        <v>24</v>
      </c>
      <c r="C29">
        <v>236.46593724473851</v>
      </c>
      <c r="D29">
        <f>1*C29</f>
        <v>236.46593724473851</v>
      </c>
      <c r="E29">
        <f>D29+D24</f>
        <v>444.04134740649931</v>
      </c>
      <c r="F29">
        <f t="shared" ref="F29" si="26">21.56*C29</f>
        <v>5098.205606996562</v>
      </c>
      <c r="G29">
        <f>F29+E24</f>
        <v>5487.6362795889281</v>
      </c>
      <c r="H29">
        <f t="shared" ref="H29" si="27">G29/1.767145868</f>
        <v>3105.3668963952941</v>
      </c>
      <c r="J29" s="12">
        <v>0.70710678118654802</v>
      </c>
      <c r="K29" s="6">
        <v>0.5</v>
      </c>
      <c r="M29">
        <v>345.68646853744207</v>
      </c>
      <c r="N29">
        <v>171.47231834899577</v>
      </c>
      <c r="O29">
        <v>150.77649397611674</v>
      </c>
      <c r="P29">
        <v>216.83817991963434</v>
      </c>
      <c r="Q29">
        <f>AVERAGE(N29:P29,M29)</f>
        <v>221.19336519554724</v>
      </c>
      <c r="R29">
        <f>_xlfn.STDEV.P(N29:P29,M29)</f>
        <v>75.743347348684779</v>
      </c>
      <c r="T29">
        <v>3860.4136928819803</v>
      </c>
      <c r="U29">
        <v>253.60121136612841</v>
      </c>
    </row>
    <row r="30" spans="1:23">
      <c r="A30" s="24"/>
      <c r="B30" t="s">
        <v>6</v>
      </c>
      <c r="C30">
        <v>349.15834505750098</v>
      </c>
      <c r="D30">
        <f t="shared" si="12"/>
        <v>349.15834505750098</v>
      </c>
      <c r="E30">
        <f>D30+D25</f>
        <v>638.19401941294245</v>
      </c>
      <c r="F30">
        <f t="shared" ref="F30:F31" si="28">30.66*C30</f>
        <v>10705.194859462979</v>
      </c>
      <c r="G30">
        <f>F30+E25</f>
        <v>11223.821901124124</v>
      </c>
      <c r="H30">
        <f t="shared" ref="H30:H31" si="29">G30/3.141592654</f>
        <v>3572.6534714274649</v>
      </c>
      <c r="J30" s="12">
        <v>1</v>
      </c>
      <c r="K30" s="6">
        <v>1</v>
      </c>
      <c r="M30">
        <v>557.81039054146231</v>
      </c>
      <c r="N30">
        <v>628.45578618984996</v>
      </c>
      <c r="O30">
        <v>699.7612101254108</v>
      </c>
      <c r="P30">
        <v>543.45919548598374</v>
      </c>
      <c r="Q30">
        <f>AVERAGE(N30:P30,M30)</f>
        <v>607.37164558567667</v>
      </c>
      <c r="R30">
        <f>_xlfn.STDEV.P(N30:P30,M30)</f>
        <v>62.292639814350473</v>
      </c>
    </row>
    <row r="31" spans="1:23">
      <c r="A31" s="24"/>
      <c r="B31" t="s">
        <v>5</v>
      </c>
      <c r="C31">
        <v>296.17581960549978</v>
      </c>
      <c r="D31">
        <f t="shared" si="12"/>
        <v>296.17581960549978</v>
      </c>
      <c r="E31">
        <f>D31+D26</f>
        <v>554.14113288762098</v>
      </c>
      <c r="F31">
        <f t="shared" si="28"/>
        <v>9080.7506291046229</v>
      </c>
      <c r="G31">
        <f>F31+E26</f>
        <v>9541.5236448528813</v>
      </c>
      <c r="H31">
        <f t="shared" si="29"/>
        <v>3037.1613050164974</v>
      </c>
      <c r="J31" s="12">
        <v>1.4142135623730951</v>
      </c>
      <c r="K31" s="6">
        <v>2</v>
      </c>
      <c r="M31">
        <v>1177.0718385264661</v>
      </c>
      <c r="N31">
        <v>1636.8747584633779</v>
      </c>
      <c r="O31">
        <v>1568.4992951832733</v>
      </c>
      <c r="P31">
        <v>1348.1996347249997</v>
      </c>
      <c r="Q31">
        <f>AVERAGE(N31:P31,M31)</f>
        <v>1432.6613817245293</v>
      </c>
      <c r="R31">
        <f>_xlfn.STDEV.P(N31:P31,M31)</f>
        <v>182.08160483030326</v>
      </c>
    </row>
    <row r="32" spans="1:23">
      <c r="A32" s="1"/>
      <c r="J32" s="12">
        <v>1.7320508075688772</v>
      </c>
      <c r="K32" s="6">
        <v>3</v>
      </c>
      <c r="M32">
        <v>1741.3005758227318</v>
      </c>
      <c r="N32">
        <v>2321.7169482178842</v>
      </c>
      <c r="O32">
        <v>2313.5907960875488</v>
      </c>
      <c r="P32">
        <v>2039.9436568461811</v>
      </c>
      <c r="Q32">
        <f>AVERAGE(N32:P32,M32)</f>
        <v>2104.1379942435865</v>
      </c>
      <c r="R32">
        <f>_xlfn.STDEV.P(N32:P32,M32)</f>
        <v>238.21365545085771</v>
      </c>
    </row>
    <row r="33" spans="1:18">
      <c r="A33" s="24" t="s">
        <v>19</v>
      </c>
      <c r="B33" t="s">
        <v>36</v>
      </c>
      <c r="C33">
        <v>181.23048701913211</v>
      </c>
      <c r="D33">
        <f t="shared" ref="D33" si="30">1*C33</f>
        <v>181.23048701913211</v>
      </c>
      <c r="E33">
        <f>D33+E28</f>
        <v>682.64149635842227</v>
      </c>
      <c r="F33">
        <f t="shared" ref="F33" si="31">16.5*C33</f>
        <v>2990.3030358156798</v>
      </c>
      <c r="G33">
        <f>F33+E28</f>
        <v>3491.7140451549699</v>
      </c>
      <c r="H33">
        <f t="shared" ref="H33" si="32">G33/1.002874915</f>
        <v>3481.7044408324541</v>
      </c>
      <c r="J33" s="12">
        <v>2</v>
      </c>
      <c r="K33" s="6">
        <v>4</v>
      </c>
      <c r="M33">
        <v>2253.7860351667887</v>
      </c>
      <c r="N33">
        <v>2709.6434531145464</v>
      </c>
      <c r="O33">
        <v>2944.1487778819996</v>
      </c>
      <c r="P33">
        <v>2625.3088198857936</v>
      </c>
      <c r="Q33">
        <f>AVERAGE(N33:P33,M33)</f>
        <v>2633.2217715122824</v>
      </c>
      <c r="R33">
        <f>_xlfn.STDEV.P(N33:P33,M33)</f>
        <v>248.26899198673715</v>
      </c>
    </row>
    <row r="34" spans="1:18">
      <c r="A34" s="24"/>
      <c r="B34" t="s">
        <v>24</v>
      </c>
      <c r="C34">
        <v>306.62458359274513</v>
      </c>
      <c r="D34">
        <f>1*C34</f>
        <v>306.62458359274513</v>
      </c>
      <c r="E34">
        <f>D34+D29</f>
        <v>543.09052083748361</v>
      </c>
      <c r="F34">
        <f t="shared" ref="F34" si="33">21.56*C34</f>
        <v>6610.8260222595845</v>
      </c>
      <c r="G34">
        <f>F34+E29</f>
        <v>7054.8673696660835</v>
      </c>
      <c r="H34">
        <f t="shared" ref="H34" si="34">G34/1.767145868</f>
        <v>3992.2382738277061</v>
      </c>
      <c r="J34" s="12">
        <v>2.2360679774997898</v>
      </c>
      <c r="K34" s="6">
        <v>5</v>
      </c>
      <c r="M34">
        <v>2932.7031994229274</v>
      </c>
      <c r="N34">
        <v>3105.3668963952941</v>
      </c>
      <c r="O34">
        <v>3572.6534714274649</v>
      </c>
      <c r="P34">
        <v>3037.1613050164974</v>
      </c>
      <c r="Q34">
        <f>AVERAGE(N34:P34,M34)</f>
        <v>3161.9712180655461</v>
      </c>
      <c r="R34">
        <f>_xlfn.STDEV.P(N34:P34,M34)</f>
        <v>244.95167953383984</v>
      </c>
    </row>
    <row r="35" spans="1:18">
      <c r="A35" s="24"/>
      <c r="B35" t="s">
        <v>6</v>
      </c>
      <c r="C35">
        <v>404.6989685952301</v>
      </c>
      <c r="D35">
        <f t="shared" si="12"/>
        <v>404.6989685952301</v>
      </c>
      <c r="E35">
        <f>D35+D30</f>
        <v>753.85731365273114</v>
      </c>
      <c r="F35">
        <f t="shared" ref="F35:F36" si="35">30.66*C35</f>
        <v>12408.070377129754</v>
      </c>
      <c r="G35">
        <f>F35+E30</f>
        <v>13046.264396542696</v>
      </c>
      <c r="H35">
        <f t="shared" ref="H35:H36" si="36">G35/3.141592654</f>
        <v>4152.7549346449086</v>
      </c>
      <c r="J35" s="12">
        <v>2.4494897427831779</v>
      </c>
      <c r="K35" s="6">
        <v>6</v>
      </c>
      <c r="L35" s="17"/>
      <c r="M35" s="17">
        <v>3481.7044408324541</v>
      </c>
      <c r="N35" s="17">
        <v>3992.2382738277061</v>
      </c>
      <c r="O35" s="17">
        <v>4165.4873300905983</v>
      </c>
      <c r="P35" s="17">
        <v>3802.2247267771618</v>
      </c>
      <c r="Q35">
        <f>AVERAGE(N35:P35,M35)</f>
        <v>3860.4136928819803</v>
      </c>
      <c r="R35">
        <f>_xlfn.STDEV.P(N35:P35,M35)</f>
        <v>253.60121136612841</v>
      </c>
    </row>
    <row r="36" spans="1:18">
      <c r="A36" s="24"/>
      <c r="B36" t="s">
        <v>5</v>
      </c>
      <c r="C36">
        <v>371.5231616964341</v>
      </c>
      <c r="D36">
        <f t="shared" si="12"/>
        <v>371.5231616964341</v>
      </c>
      <c r="E36">
        <f>D36+D31</f>
        <v>667.69898130193383</v>
      </c>
      <c r="F36">
        <f t="shared" si="35"/>
        <v>11390.900137612669</v>
      </c>
      <c r="G36">
        <f>F36+E31</f>
        <v>11945.041270500289</v>
      </c>
      <c r="H36">
        <f t="shared" si="36"/>
        <v>3802.2247267771618</v>
      </c>
    </row>
  </sheetData>
  <mergeCells count="8">
    <mergeCell ref="A1:A2"/>
    <mergeCell ref="A3:A6"/>
    <mergeCell ref="A8:A11"/>
    <mergeCell ref="A13:A16"/>
    <mergeCell ref="A18:A21"/>
    <mergeCell ref="A23:A26"/>
    <mergeCell ref="A28:A31"/>
    <mergeCell ref="A33:A36"/>
  </mergeCells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19723-1DE0-4B41-9742-A78298BA0624}">
  <dimension ref="A1:W36"/>
  <sheetViews>
    <sheetView topLeftCell="F2" workbookViewId="0">
      <selection activeCell="Q35" sqref="Q35:R35"/>
    </sheetView>
  </sheetViews>
  <sheetFormatPr defaultRowHeight="14.5"/>
  <cols>
    <col min="3" max="3" width="21.26953125" customWidth="1"/>
    <col min="4" max="4" width="31.7265625" customWidth="1"/>
    <col min="5" max="5" width="28.26953125" customWidth="1"/>
    <col min="6" max="6" width="28.81640625" customWidth="1"/>
    <col min="7" max="7" width="25.81640625" customWidth="1"/>
    <col min="8" max="8" width="28.54296875" customWidth="1"/>
    <col min="10" max="10" width="15.08984375" customWidth="1"/>
  </cols>
  <sheetData>
    <row r="1" spans="1:23" ht="29">
      <c r="A1" s="24" t="s">
        <v>20</v>
      </c>
      <c r="B1" s="1"/>
      <c r="C1" s="2" t="s">
        <v>4</v>
      </c>
      <c r="D1" s="1"/>
      <c r="E1" s="3" t="s">
        <v>2</v>
      </c>
      <c r="F1" s="5" t="s">
        <v>30</v>
      </c>
      <c r="G1" s="1"/>
      <c r="H1" s="1"/>
    </row>
    <row r="2" spans="1:23" ht="151.5" customHeight="1">
      <c r="A2" s="24"/>
      <c r="B2" s="3"/>
      <c r="C2" s="4" t="s">
        <v>0</v>
      </c>
      <c r="D2" s="3" t="s">
        <v>8</v>
      </c>
      <c r="E2" s="3" t="s">
        <v>1</v>
      </c>
      <c r="F2" s="3" t="s">
        <v>14</v>
      </c>
      <c r="G2" s="3" t="s">
        <v>3</v>
      </c>
      <c r="H2" s="3" t="s">
        <v>15</v>
      </c>
    </row>
    <row r="3" spans="1:23">
      <c r="A3" s="25" t="s">
        <v>9</v>
      </c>
      <c r="B3" t="s">
        <v>36</v>
      </c>
      <c r="C3">
        <v>12.083932413909221</v>
      </c>
      <c r="D3">
        <f>1*C3</f>
        <v>12.083932413909221</v>
      </c>
      <c r="E3">
        <f>D3</f>
        <v>12.083932413909221</v>
      </c>
      <c r="F3">
        <f>16.5*C3</f>
        <v>199.38488482950214</v>
      </c>
      <c r="G3">
        <f>F3</f>
        <v>199.38488482950214</v>
      </c>
      <c r="H3">
        <f>G3/1.002874915</f>
        <v>198.81331345245795</v>
      </c>
      <c r="K3" t="s">
        <v>21</v>
      </c>
    </row>
    <row r="4" spans="1:23">
      <c r="A4" s="25"/>
      <c r="B4" t="s">
        <v>24</v>
      </c>
      <c r="C4">
        <v>23.003469478323399</v>
      </c>
      <c r="D4">
        <f t="shared" ref="D4:D16" si="0">1*C4</f>
        <v>23.003469478323399</v>
      </c>
      <c r="E4">
        <f>D4</f>
        <v>23.003469478323399</v>
      </c>
      <c r="F4">
        <f>21.56*C4</f>
        <v>495.95480195265247</v>
      </c>
      <c r="G4">
        <f>F4</f>
        <v>495.95480195265247</v>
      </c>
      <c r="H4">
        <f>G4/1.767145868</f>
        <v>280.6530071645746</v>
      </c>
      <c r="J4" s="6" t="s">
        <v>23</v>
      </c>
      <c r="K4" s="6">
        <v>0.5</v>
      </c>
      <c r="L4" s="6">
        <v>1</v>
      </c>
      <c r="M4" s="6">
        <v>2</v>
      </c>
      <c r="N4" s="6">
        <v>3</v>
      </c>
      <c r="O4" s="6">
        <v>4</v>
      </c>
      <c r="P4" s="6">
        <v>5</v>
      </c>
      <c r="Q4" s="6">
        <v>6</v>
      </c>
    </row>
    <row r="5" spans="1:23">
      <c r="A5" s="25"/>
      <c r="B5" t="s">
        <v>6</v>
      </c>
      <c r="C5">
        <v>18.045621525742</v>
      </c>
      <c r="D5">
        <f t="shared" si="0"/>
        <v>18.045621525742</v>
      </c>
      <c r="E5">
        <f>D5</f>
        <v>18.045621525742</v>
      </c>
      <c r="F5">
        <f>30.66*C5</f>
        <v>553.27875597924969</v>
      </c>
      <c r="G5">
        <f>F5</f>
        <v>553.27875597924969</v>
      </c>
      <c r="H5">
        <f>G5/3.141592654</f>
        <v>176.11409782066855</v>
      </c>
      <c r="J5" s="8"/>
      <c r="Q5" s="17"/>
    </row>
    <row r="6" spans="1:23">
      <c r="A6" s="25"/>
      <c r="B6" t="s">
        <v>5</v>
      </c>
      <c r="C6">
        <v>21.777176995379751</v>
      </c>
      <c r="D6">
        <f t="shared" si="0"/>
        <v>21.777176995379751</v>
      </c>
      <c r="E6">
        <f>D6</f>
        <v>21.777176995379751</v>
      </c>
      <c r="F6">
        <f>30.66*C6</f>
        <v>667.68824667834315</v>
      </c>
      <c r="G6">
        <f>F6</f>
        <v>667.68824667834315</v>
      </c>
      <c r="H6">
        <f>G6/3.141592654</f>
        <v>212.53176977868728</v>
      </c>
      <c r="J6" s="8" t="s">
        <v>36</v>
      </c>
      <c r="K6">
        <v>198.81331345245795</v>
      </c>
      <c r="L6">
        <v>515.64344710176817</v>
      </c>
      <c r="M6">
        <v>1285.6632977574079</v>
      </c>
      <c r="N6">
        <v>1730.7513320127237</v>
      </c>
      <c r="O6">
        <v>2153.9059798985109</v>
      </c>
      <c r="P6">
        <v>2619.7620955658563</v>
      </c>
      <c r="Q6" s="17">
        <v>3680.1169760347479</v>
      </c>
    </row>
    <row r="7" spans="1:23">
      <c r="A7" s="1"/>
      <c r="J7" s="7" t="s">
        <v>24</v>
      </c>
      <c r="K7">
        <v>280.6530071645746</v>
      </c>
      <c r="L7">
        <v>513.239124524148</v>
      </c>
      <c r="M7">
        <v>1167.7266452153442</v>
      </c>
      <c r="N7">
        <v>1783.0100733957204</v>
      </c>
      <c r="O7">
        <v>2573.9961953941947</v>
      </c>
      <c r="P7">
        <v>3242.9711333883147</v>
      </c>
      <c r="Q7" s="17">
        <v>3716.7842901784406</v>
      </c>
    </row>
    <row r="8" spans="1:23">
      <c r="A8" s="25" t="s">
        <v>10</v>
      </c>
      <c r="B8" t="s">
        <v>36</v>
      </c>
      <c r="C8">
        <v>30.608602773853551</v>
      </c>
      <c r="D8">
        <f t="shared" si="0"/>
        <v>30.608602773853551</v>
      </c>
      <c r="E8">
        <f>D8+E3</f>
        <v>42.692535187762772</v>
      </c>
      <c r="F8">
        <f>16.5*C8</f>
        <v>505.04194576858362</v>
      </c>
      <c r="G8">
        <f>F8+E3</f>
        <v>517.12587818249278</v>
      </c>
      <c r="H8">
        <f t="shared" ref="H8" si="1">G8/1.002874915</f>
        <v>515.64344710176817</v>
      </c>
      <c r="J8" s="8" t="s">
        <v>6</v>
      </c>
      <c r="K8">
        <v>176.11409782066855</v>
      </c>
      <c r="L8">
        <v>527.74361970452856</v>
      </c>
      <c r="M8">
        <v>1515.1405863306165</v>
      </c>
      <c r="N8">
        <v>2286.7455466716156</v>
      </c>
      <c r="O8">
        <v>2719.3525816534047</v>
      </c>
      <c r="P8">
        <v>3207.0535241269699</v>
      </c>
      <c r="Q8" s="17">
        <v>3517.489813007985</v>
      </c>
    </row>
    <row r="9" spans="1:23">
      <c r="A9" s="25"/>
      <c r="B9" t="s">
        <v>24</v>
      </c>
      <c r="C9">
        <v>41.000228604845191</v>
      </c>
      <c r="D9">
        <f t="shared" si="0"/>
        <v>41.000228604845191</v>
      </c>
      <c r="E9">
        <f>D9+D4</f>
        <v>64.003698083168587</v>
      </c>
      <c r="F9">
        <f>21.56*C9</f>
        <v>883.96492872046224</v>
      </c>
      <c r="G9">
        <f>F9+E4</f>
        <v>906.96839819878562</v>
      </c>
      <c r="H9">
        <f t="shared" ref="H9" si="2">G9/1.767145868</f>
        <v>513.239124524148</v>
      </c>
      <c r="J9" s="8" t="s">
        <v>5</v>
      </c>
      <c r="K9">
        <v>212.53176977868728</v>
      </c>
      <c r="L9">
        <v>582.72462602280939</v>
      </c>
      <c r="M9">
        <v>1489.4498906332838</v>
      </c>
      <c r="N9">
        <v>2234.7157272399663</v>
      </c>
      <c r="O9">
        <v>2815.0492754009715</v>
      </c>
      <c r="P9">
        <v>3294.3621408393642</v>
      </c>
      <c r="Q9" s="17">
        <v>3763.8119811263214</v>
      </c>
    </row>
    <row r="10" spans="1:23">
      <c r="A10" s="25"/>
      <c r="B10" t="s">
        <v>6</v>
      </c>
      <c r="C10">
        <v>53.4869490323997</v>
      </c>
      <c r="D10">
        <f t="shared" si="0"/>
        <v>53.4869490323997</v>
      </c>
      <c r="E10">
        <f>D10+D5</f>
        <v>71.5325705581417</v>
      </c>
      <c r="F10">
        <f>30.66*C10</f>
        <v>1639.9098573333747</v>
      </c>
      <c r="G10">
        <f>F10+E5</f>
        <v>1657.9554788591167</v>
      </c>
      <c r="H10">
        <f t="shared" ref="H10:H11" si="3">G10/3.141592654</f>
        <v>527.74361970452856</v>
      </c>
      <c r="J10" s="9" t="s">
        <v>22</v>
      </c>
      <c r="K10">
        <f t="shared" ref="K10:P10" si="4">AVERAGE(K7:K9,K6)</f>
        <v>217.02804705409707</v>
      </c>
      <c r="L10">
        <f t="shared" si="4"/>
        <v>534.83770433831353</v>
      </c>
      <c r="M10">
        <f t="shared" si="4"/>
        <v>1364.4951049841632</v>
      </c>
      <c r="N10">
        <f t="shared" si="4"/>
        <v>2008.8056698300065</v>
      </c>
      <c r="O10">
        <f t="shared" si="4"/>
        <v>2565.5760080867703</v>
      </c>
      <c r="P10">
        <f>AVERAGE(P7:P9,P6)</f>
        <v>3091.0372234801266</v>
      </c>
      <c r="Q10">
        <f>AVERAGE(Q7:Q9,Q6)</f>
        <v>3669.550765086874</v>
      </c>
    </row>
    <row r="11" spans="1:23">
      <c r="A11" s="25"/>
      <c r="B11" t="s">
        <v>5</v>
      </c>
      <c r="C11">
        <v>58.998898480847217</v>
      </c>
      <c r="D11">
        <f t="shared" si="0"/>
        <v>58.998898480847217</v>
      </c>
      <c r="E11">
        <f>D11+D6</f>
        <v>80.776075476226964</v>
      </c>
      <c r="F11">
        <f>30.66*C11</f>
        <v>1808.9062274227756</v>
      </c>
      <c r="G11">
        <f>F11+E6</f>
        <v>1830.6834044181553</v>
      </c>
      <c r="H11">
        <f t="shared" si="3"/>
        <v>582.72462602280939</v>
      </c>
      <c r="J11" s="9" t="s">
        <v>26</v>
      </c>
      <c r="K11">
        <f t="shared" ref="K11:P11" si="5">_xlfn.STDEV.P(K7:K9,K6)</f>
        <v>38.968191581248355</v>
      </c>
      <c r="L11">
        <f t="shared" si="5"/>
        <v>28.188656699370654</v>
      </c>
      <c r="M11">
        <f t="shared" si="5"/>
        <v>144.25675035951687</v>
      </c>
      <c r="N11">
        <f t="shared" si="5"/>
        <v>253.27050525368375</v>
      </c>
      <c r="O11">
        <f t="shared" si="5"/>
        <v>252.69905883537234</v>
      </c>
      <c r="P11">
        <f>_xlfn.STDEV.P(P7:P9,P6)</f>
        <v>273.85441534030485</v>
      </c>
      <c r="Q11">
        <f>_xlfn.STDEV.P(Q7:Q9,Q6)</f>
        <v>92.669251511415794</v>
      </c>
    </row>
    <row r="12" spans="1:23">
      <c r="A12" s="1"/>
    </row>
    <row r="13" spans="1:23">
      <c r="A13" s="25" t="s">
        <v>11</v>
      </c>
      <c r="B13" t="s">
        <v>36</v>
      </c>
      <c r="C13">
        <v>75.555571834504093</v>
      </c>
      <c r="D13">
        <f>1*C13</f>
        <v>75.555571834504093</v>
      </c>
      <c r="E13">
        <f>D13+E8</f>
        <v>118.24810702226686</v>
      </c>
      <c r="F13">
        <f t="shared" ref="F13" si="6">16.5*C13</f>
        <v>1246.6669352693175</v>
      </c>
      <c r="G13">
        <f>F13+E8</f>
        <v>1289.3594704570803</v>
      </c>
      <c r="H13">
        <f t="shared" ref="H13" si="7">G13/1.002874915</f>
        <v>1285.6632977574079</v>
      </c>
    </row>
    <row r="14" spans="1:23">
      <c r="A14" s="25"/>
      <c r="B14" t="s">
        <v>24</v>
      </c>
      <c r="C14">
        <v>92.743024951884465</v>
      </c>
      <c r="D14">
        <f>1*C14</f>
        <v>92.743024951884465</v>
      </c>
      <c r="E14">
        <f>D14+D9</f>
        <v>133.74325355672966</v>
      </c>
      <c r="F14">
        <f t="shared" ref="F14" si="8">21.56*C14</f>
        <v>1999.5396179626289</v>
      </c>
      <c r="G14">
        <f>F14+E9</f>
        <v>2063.5433160457974</v>
      </c>
      <c r="H14">
        <f t="shared" ref="H14" si="9">G14/1.767145868</f>
        <v>1167.7266452153442</v>
      </c>
    </row>
    <row r="15" spans="1:23">
      <c r="A15" s="25"/>
      <c r="B15" t="s">
        <v>6</v>
      </c>
      <c r="C15">
        <v>152.91656768543299</v>
      </c>
      <c r="D15">
        <f t="shared" si="0"/>
        <v>152.91656768543299</v>
      </c>
      <c r="E15">
        <f>D15+D10</f>
        <v>206.4035167178327</v>
      </c>
      <c r="F15">
        <f t="shared" ref="F15:F16" si="10">30.66*C15</f>
        <v>4688.4219652353759</v>
      </c>
      <c r="G15">
        <f>F15+E10</f>
        <v>4759.9545357935176</v>
      </c>
      <c r="H15">
        <f t="shared" ref="H15:H16" si="11">G15/3.141592654</f>
        <v>1515.1405863306165</v>
      </c>
      <c r="T15" s="17"/>
      <c r="U15" s="17"/>
      <c r="V15" s="17"/>
      <c r="W15" s="17"/>
    </row>
    <row r="16" spans="1:23">
      <c r="A16" s="25"/>
      <c r="B16" t="s">
        <v>5</v>
      </c>
      <c r="C16">
        <v>149.98267317150689</v>
      </c>
      <c r="D16">
        <f t="shared" si="0"/>
        <v>149.98267317150689</v>
      </c>
      <c r="E16">
        <f>D16+D11</f>
        <v>208.98157165235409</v>
      </c>
      <c r="F16">
        <f t="shared" si="10"/>
        <v>4598.4687594384013</v>
      </c>
      <c r="G16">
        <f>F16+E11</f>
        <v>4679.244834914628</v>
      </c>
      <c r="H16">
        <f t="shared" si="11"/>
        <v>1489.4498906332838</v>
      </c>
      <c r="T16" s="17"/>
      <c r="U16" s="17"/>
      <c r="V16" s="17"/>
      <c r="W16" s="17"/>
    </row>
    <row r="17" spans="1:23">
      <c r="A17" s="1"/>
      <c r="T17" s="17"/>
      <c r="U17" s="17"/>
      <c r="V17" s="17"/>
      <c r="W17" s="17"/>
    </row>
    <row r="18" spans="1:23">
      <c r="A18" s="24" t="s">
        <v>16</v>
      </c>
      <c r="B18" t="s">
        <v>36</v>
      </c>
      <c r="C18">
        <v>98.029029573098796</v>
      </c>
      <c r="D18">
        <f t="shared" ref="D18:D36" si="12">1*C18</f>
        <v>98.029029573098796</v>
      </c>
      <c r="E18">
        <f>D18+E13</f>
        <v>216.27713659536568</v>
      </c>
      <c r="F18">
        <f t="shared" ref="F18" si="13">16.5*C18</f>
        <v>1617.4789879561301</v>
      </c>
      <c r="G18">
        <f>F18+E13</f>
        <v>1735.727094978397</v>
      </c>
      <c r="H18">
        <f t="shared" ref="H18" si="14">G18/1.002874915</f>
        <v>1730.7513320127237</v>
      </c>
    </row>
    <row r="19" spans="1:23">
      <c r="A19" s="24"/>
      <c r="B19" t="s">
        <v>24</v>
      </c>
      <c r="C19">
        <v>139.93950047527341</v>
      </c>
      <c r="D19">
        <f t="shared" si="12"/>
        <v>139.93950047527341</v>
      </c>
      <c r="E19">
        <f>D19+D14</f>
        <v>232.68252542715788</v>
      </c>
      <c r="F19">
        <f t="shared" ref="F19" si="15">21.56*C19</f>
        <v>3017.0956302468944</v>
      </c>
      <c r="G19">
        <f>F19+E14</f>
        <v>3150.838883803624</v>
      </c>
      <c r="H19">
        <f t="shared" ref="H19" si="16">G19/1.767145868</f>
        <v>1783.0100733957204</v>
      </c>
    </row>
    <row r="20" spans="1:23">
      <c r="A20" s="24"/>
      <c r="B20" t="s">
        <v>6</v>
      </c>
      <c r="C20">
        <v>227.58054449683399</v>
      </c>
      <c r="D20">
        <f t="shared" si="12"/>
        <v>227.58054449683399</v>
      </c>
      <c r="E20">
        <f>D20+D15</f>
        <v>380.49711218226696</v>
      </c>
      <c r="F20">
        <f t="shared" ref="F20:F21" si="17">30.66*C20</f>
        <v>6977.6194942729298</v>
      </c>
      <c r="G20">
        <f>F20+E15</f>
        <v>7184.0230109907625</v>
      </c>
      <c r="H20">
        <f t="shared" ref="H20:H21" si="18">G20/3.141592654</f>
        <v>2286.7455466716156</v>
      </c>
    </row>
    <row r="21" spans="1:23">
      <c r="A21" s="24"/>
      <c r="B21" t="s">
        <v>5</v>
      </c>
      <c r="C21">
        <v>222.16519702619021</v>
      </c>
      <c r="D21">
        <f t="shared" si="12"/>
        <v>222.16519702619021</v>
      </c>
      <c r="E21">
        <f>D21+D16</f>
        <v>372.1478701976971</v>
      </c>
      <c r="F21">
        <f t="shared" si="17"/>
        <v>6811.5849408229924</v>
      </c>
      <c r="G21">
        <f>F21+E16</f>
        <v>7020.5665124753468</v>
      </c>
      <c r="H21">
        <f t="shared" si="18"/>
        <v>2234.7157272399663</v>
      </c>
    </row>
    <row r="22" spans="1:23">
      <c r="A22" s="1"/>
      <c r="T22" t="s">
        <v>22</v>
      </c>
      <c r="U22" t="s">
        <v>26</v>
      </c>
    </row>
    <row r="23" spans="1:23">
      <c r="A23" s="24" t="s">
        <v>17</v>
      </c>
      <c r="B23" t="s">
        <v>36</v>
      </c>
      <c r="C23">
        <v>117.80734181293001</v>
      </c>
      <c r="D23">
        <f t="shared" ref="D23:D24" si="19">1*C23</f>
        <v>117.80734181293001</v>
      </c>
      <c r="E23">
        <f>D23+E18</f>
        <v>334.08447840829569</v>
      </c>
      <c r="F23">
        <f t="shared" ref="F23" si="20">16.5*C23</f>
        <v>1943.8211399133452</v>
      </c>
      <c r="G23">
        <f>F23+E18</f>
        <v>2160.098276508711</v>
      </c>
      <c r="H23">
        <f>G23/1.002874915</f>
        <v>2153.9059798985109</v>
      </c>
      <c r="T23">
        <v>217.02804705409707</v>
      </c>
      <c r="U23">
        <v>38.968191581248355</v>
      </c>
    </row>
    <row r="24" spans="1:23">
      <c r="A24" s="24"/>
      <c r="B24" t="s">
        <v>24</v>
      </c>
      <c r="C24">
        <v>200.1829413502511</v>
      </c>
      <c r="D24">
        <f t="shared" si="19"/>
        <v>200.1829413502511</v>
      </c>
      <c r="E24">
        <f>D24+D19</f>
        <v>340.1224418255245</v>
      </c>
      <c r="F24">
        <f t="shared" ref="F24" si="21">21.56*C24</f>
        <v>4315.9442155114139</v>
      </c>
      <c r="G24">
        <f>F24+E19</f>
        <v>4548.6267409385719</v>
      </c>
      <c r="H24">
        <f>G24/1.767145868</f>
        <v>2573.9961953941947</v>
      </c>
      <c r="T24">
        <v>534.83770433831353</v>
      </c>
      <c r="U24">
        <v>28.188656699370654</v>
      </c>
    </row>
    <row r="25" spans="1:23">
      <c r="A25" s="24"/>
      <c r="B25" t="s">
        <v>6</v>
      </c>
      <c r="C25">
        <v>266.22964716164398</v>
      </c>
      <c r="D25">
        <f t="shared" si="12"/>
        <v>266.22964716164398</v>
      </c>
      <c r="E25">
        <f>D25+D20</f>
        <v>493.81019165847795</v>
      </c>
      <c r="F25">
        <f t="shared" ref="F25:F26" si="22">30.66*C25</f>
        <v>8162.6009819760047</v>
      </c>
      <c r="G25">
        <f>F25+E20</f>
        <v>8543.0980941582711</v>
      </c>
      <c r="H25">
        <f>G25/3.141592654</f>
        <v>2719.3525816534047</v>
      </c>
      <c r="T25">
        <v>1323.3633552683971</v>
      </c>
      <c r="U25">
        <v>179.91790588297249</v>
      </c>
    </row>
    <row r="26" spans="1:23">
      <c r="A26" s="24"/>
      <c r="B26" t="s">
        <v>5</v>
      </c>
      <c r="C26">
        <v>276.30757514840241</v>
      </c>
      <c r="D26">
        <f t="shared" si="12"/>
        <v>276.30757514840241</v>
      </c>
      <c r="E26">
        <f>D26+D21</f>
        <v>498.47277217459259</v>
      </c>
      <c r="F26">
        <f t="shared" si="22"/>
        <v>8471.5902540500174</v>
      </c>
      <c r="G26">
        <f>F26+E21</f>
        <v>8843.7381242477149</v>
      </c>
      <c r="H26">
        <f>G26/3.141592654</f>
        <v>2815.0492754009715</v>
      </c>
      <c r="T26">
        <v>1965.1810867981335</v>
      </c>
      <c r="U26">
        <v>306.78212245914034</v>
      </c>
    </row>
    <row r="27" spans="1:23">
      <c r="A27" s="1"/>
      <c r="T27">
        <v>2478.326842023027</v>
      </c>
      <c r="U27">
        <v>398.15800705055176</v>
      </c>
    </row>
    <row r="28" spans="1:23">
      <c r="A28" s="24" t="s">
        <v>18</v>
      </c>
      <c r="B28" t="s">
        <v>36</v>
      </c>
      <c r="C28">
        <v>138.982376394093</v>
      </c>
      <c r="D28">
        <f t="shared" ref="D28" si="23">1*C28</f>
        <v>138.982376394093</v>
      </c>
      <c r="E28">
        <f>D28+E23</f>
        <v>473.06685480238866</v>
      </c>
      <c r="F28">
        <f t="shared" ref="F28" si="24">16.5*C28</f>
        <v>2293.2092105025345</v>
      </c>
      <c r="G28">
        <f>F28+E23</f>
        <v>2627.29368891083</v>
      </c>
      <c r="H28">
        <f t="shared" ref="H28" si="25">G28/1.002874915</f>
        <v>2619.7620955658563</v>
      </c>
      <c r="J28" s="11" t="s">
        <v>27</v>
      </c>
      <c r="K28" s="6" t="s">
        <v>23</v>
      </c>
      <c r="L28" s="15" t="s">
        <v>13</v>
      </c>
      <c r="M28" s="15" t="s">
        <v>12</v>
      </c>
      <c r="N28" s="14" t="s">
        <v>24</v>
      </c>
      <c r="O28" s="13" t="s">
        <v>6</v>
      </c>
      <c r="P28" s="13" t="s">
        <v>5</v>
      </c>
      <c r="Q28" s="16" t="s">
        <v>22</v>
      </c>
      <c r="R28" s="16" t="s">
        <v>28</v>
      </c>
      <c r="T28">
        <v>3081.0658902156983</v>
      </c>
      <c r="U28">
        <v>291.02062810379846</v>
      </c>
    </row>
    <row r="29" spans="1:23">
      <c r="A29" s="24"/>
      <c r="B29" t="s">
        <v>24</v>
      </c>
      <c r="C29">
        <v>250.03156755959711</v>
      </c>
      <c r="D29">
        <f>1*C29</f>
        <v>250.03156755959711</v>
      </c>
      <c r="E29">
        <f>D29+D24</f>
        <v>450.21450890984818</v>
      </c>
      <c r="F29">
        <f t="shared" ref="F29" si="26">21.56*C29</f>
        <v>5390.6805965849135</v>
      </c>
      <c r="G29">
        <f>F29+E24</f>
        <v>5730.8030384104377</v>
      </c>
      <c r="H29">
        <f t="shared" ref="H29" si="27">G29/1.767145868</f>
        <v>3242.9711333883147</v>
      </c>
      <c r="J29" s="12">
        <v>0.70710678118654802</v>
      </c>
      <c r="K29" s="6">
        <v>0.5</v>
      </c>
      <c r="M29">
        <v>198.81331345245795</v>
      </c>
      <c r="N29">
        <v>280.6530071645746</v>
      </c>
      <c r="O29">
        <v>176.11409782066855</v>
      </c>
      <c r="P29">
        <v>212.53176977868728</v>
      </c>
      <c r="Q29">
        <f t="shared" ref="Q29:Q34" si="28">AVERAGE(N29:P29,M29)</f>
        <v>217.02804705409707</v>
      </c>
      <c r="R29">
        <f t="shared" ref="R29:R34" si="29">_xlfn.STDEV.P(N29:P29,M29)</f>
        <v>38.968191581248355</v>
      </c>
      <c r="T29">
        <v>3659.5794318224462</v>
      </c>
      <c r="U29">
        <v>93.140507919432665</v>
      </c>
    </row>
    <row r="30" spans="1:23">
      <c r="A30" s="24"/>
      <c r="B30" t="s">
        <v>6</v>
      </c>
      <c r="C30">
        <v>312.506379671351</v>
      </c>
      <c r="D30">
        <f t="shared" si="12"/>
        <v>312.506379671351</v>
      </c>
      <c r="E30">
        <f>D30+D25</f>
        <v>578.73602683299498</v>
      </c>
      <c r="F30">
        <f t="shared" ref="F30:F31" si="30">30.66*C30</f>
        <v>9581.4456007236222</v>
      </c>
      <c r="G30">
        <f>F30+E25</f>
        <v>10075.2557923821</v>
      </c>
      <c r="H30">
        <f t="shared" ref="H30:H31" si="31">G30/3.141592654</f>
        <v>3207.0535241269699</v>
      </c>
      <c r="J30" s="12">
        <v>1</v>
      </c>
      <c r="K30" s="6">
        <v>1</v>
      </c>
      <c r="M30">
        <v>515.64344710176817</v>
      </c>
      <c r="N30">
        <v>513.239124524148</v>
      </c>
      <c r="O30">
        <v>527.74361970452856</v>
      </c>
      <c r="P30">
        <v>582.72462602280939</v>
      </c>
      <c r="Q30">
        <f t="shared" si="28"/>
        <v>534.83770433831353</v>
      </c>
      <c r="R30">
        <f t="shared" si="29"/>
        <v>28.188656699370654</v>
      </c>
    </row>
    <row r="31" spans="1:23">
      <c r="A31" s="24"/>
      <c r="B31" t="s">
        <v>5</v>
      </c>
      <c r="C31">
        <v>321.30042821598391</v>
      </c>
      <c r="D31">
        <f t="shared" si="12"/>
        <v>321.30042821598391</v>
      </c>
      <c r="E31">
        <f>D31+D26</f>
        <v>597.60800336438638</v>
      </c>
      <c r="F31">
        <f t="shared" si="30"/>
        <v>9851.0711291020671</v>
      </c>
      <c r="G31">
        <f>F31+E26</f>
        <v>10349.54390127666</v>
      </c>
      <c r="H31">
        <f t="shared" si="31"/>
        <v>3294.3621408393642</v>
      </c>
      <c r="J31" s="12">
        <v>1.4142135623730951</v>
      </c>
      <c r="K31" s="6">
        <v>2</v>
      </c>
      <c r="M31">
        <v>1285.6632977574079</v>
      </c>
      <c r="N31">
        <v>1167.7266452153442</v>
      </c>
      <c r="O31">
        <v>1515.1405863306165</v>
      </c>
      <c r="P31">
        <v>1489.4498906332838</v>
      </c>
      <c r="Q31">
        <f t="shared" si="28"/>
        <v>1364.4951049841632</v>
      </c>
      <c r="R31">
        <f t="shared" si="29"/>
        <v>144.25675035951687</v>
      </c>
    </row>
    <row r="32" spans="1:23">
      <c r="A32" s="1"/>
      <c r="J32" s="12">
        <v>1.7320508075688772</v>
      </c>
      <c r="K32" s="6">
        <v>3</v>
      </c>
      <c r="M32">
        <v>1730.7513320127237</v>
      </c>
      <c r="N32">
        <v>1783.0100733957204</v>
      </c>
      <c r="O32">
        <v>2286.7455466716156</v>
      </c>
      <c r="P32">
        <v>2234.7157272399663</v>
      </c>
      <c r="Q32">
        <f t="shared" si="28"/>
        <v>2008.8056698300065</v>
      </c>
      <c r="R32">
        <f t="shared" si="29"/>
        <v>253.27050525368375</v>
      </c>
    </row>
    <row r="33" spans="1:18">
      <c r="A33" s="24" t="s">
        <v>19</v>
      </c>
      <c r="B33" t="s">
        <v>36</v>
      </c>
      <c r="C33">
        <v>195.00788755930401</v>
      </c>
      <c r="D33">
        <f t="shared" ref="D33" si="32">1*C33</f>
        <v>195.00788755930401</v>
      </c>
      <c r="E33">
        <f>D33+E28</f>
        <v>668.07474236169264</v>
      </c>
      <c r="F33">
        <f t="shared" ref="F33" si="33">16.5*C33</f>
        <v>3217.6301447285164</v>
      </c>
      <c r="G33">
        <f>F33+E28</f>
        <v>3690.696999530905</v>
      </c>
      <c r="H33">
        <f t="shared" ref="H33" si="34">G33/1.002874915</f>
        <v>3680.1169760347479</v>
      </c>
      <c r="J33" s="12">
        <v>2</v>
      </c>
      <c r="K33" s="6">
        <v>4</v>
      </c>
      <c r="M33">
        <v>2153.9059798985109</v>
      </c>
      <c r="N33">
        <v>2573.9961953941947</v>
      </c>
      <c r="O33">
        <v>2719.3525816534047</v>
      </c>
      <c r="P33">
        <v>2815.0492754009715</v>
      </c>
      <c r="Q33">
        <f t="shared" si="28"/>
        <v>2565.5760080867703</v>
      </c>
      <c r="R33">
        <f t="shared" si="29"/>
        <v>252.69905883537234</v>
      </c>
    </row>
    <row r="34" spans="1:18">
      <c r="A34" s="24"/>
      <c r="B34" t="s">
        <v>24</v>
      </c>
      <c r="C34">
        <v>283.76092262181339</v>
      </c>
      <c r="D34">
        <f>1*C34</f>
        <v>283.76092262181339</v>
      </c>
      <c r="E34">
        <f>D34+D29</f>
        <v>533.79249018141047</v>
      </c>
      <c r="F34">
        <f t="shared" ref="F34" si="35">21.56*C34</f>
        <v>6117.8854917262961</v>
      </c>
      <c r="G34">
        <f>F34+E29</f>
        <v>6568.1000006361446</v>
      </c>
      <c r="H34">
        <f t="shared" ref="H34" si="36">G34/1.767145868</f>
        <v>3716.7842901784406</v>
      </c>
      <c r="J34" s="12">
        <v>2.2360679774997898</v>
      </c>
      <c r="K34" s="6">
        <v>5</v>
      </c>
      <c r="M34">
        <v>2619.7620955658563</v>
      </c>
      <c r="N34">
        <v>3242.9711333883147</v>
      </c>
      <c r="O34">
        <v>3207.0535241269699</v>
      </c>
      <c r="P34">
        <v>3294.3621408393642</v>
      </c>
      <c r="Q34">
        <f t="shared" si="28"/>
        <v>3091.0372234801266</v>
      </c>
      <c r="R34">
        <f t="shared" si="29"/>
        <v>273.85441534030485</v>
      </c>
    </row>
    <row r="35" spans="1:18">
      <c r="A35" s="24"/>
      <c r="B35" t="s">
        <v>6</v>
      </c>
      <c r="C35">
        <v>341.54547065338301</v>
      </c>
      <c r="D35">
        <f t="shared" si="12"/>
        <v>341.54547065338301</v>
      </c>
      <c r="E35">
        <f>D35+D30</f>
        <v>654.051850324734</v>
      </c>
      <c r="F35">
        <f t="shared" ref="F35:F36" si="37">30.66*C35</f>
        <v>10471.784130232723</v>
      </c>
      <c r="G35">
        <f>F35+E30</f>
        <v>11050.520157065719</v>
      </c>
      <c r="H35">
        <f t="shared" ref="H35:H36" si="38">G35/3.141592654</f>
        <v>3517.489813007985</v>
      </c>
      <c r="J35" s="12">
        <v>2.4494897427831779</v>
      </c>
      <c r="K35" s="6">
        <v>6</v>
      </c>
      <c r="L35" s="17"/>
      <c r="M35" s="17">
        <v>3680.1169760347479</v>
      </c>
      <c r="N35" s="17">
        <v>3716.7842901784406</v>
      </c>
      <c r="O35" s="17">
        <v>3517.489813007985</v>
      </c>
      <c r="P35" s="17">
        <v>3763.8119811263214</v>
      </c>
      <c r="Q35">
        <f>AVERAGE(N35:P35,M35)</f>
        <v>3669.550765086874</v>
      </c>
      <c r="R35">
        <f>_xlfn.STDEV.P(N35:P35,M35)</f>
        <v>92.669251511415794</v>
      </c>
    </row>
    <row r="36" spans="1:18">
      <c r="A36" s="24"/>
      <c r="B36" t="s">
        <v>5</v>
      </c>
      <c r="C36">
        <v>366.16947382841659</v>
      </c>
      <c r="D36">
        <f t="shared" si="12"/>
        <v>366.16947382841659</v>
      </c>
      <c r="E36">
        <f>D36+D31</f>
        <v>687.46990204440044</v>
      </c>
      <c r="F36">
        <f t="shared" si="37"/>
        <v>11226.756067579252</v>
      </c>
      <c r="G36">
        <f>F36+E31</f>
        <v>11824.364070943639</v>
      </c>
      <c r="H36">
        <f t="shared" si="38"/>
        <v>3763.8119811263214</v>
      </c>
    </row>
  </sheetData>
  <mergeCells count="8">
    <mergeCell ref="A1:A2"/>
    <mergeCell ref="A3:A6"/>
    <mergeCell ref="A8:A11"/>
    <mergeCell ref="A13:A16"/>
    <mergeCell ref="A18:A21"/>
    <mergeCell ref="A23:A26"/>
    <mergeCell ref="A28:A31"/>
    <mergeCell ref="A33:A36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OPT</vt:lpstr>
      <vt:lpstr>Opt-6H</vt:lpstr>
      <vt:lpstr>Opt-FULLTIME</vt:lpstr>
      <vt:lpstr>Opt-1</vt:lpstr>
      <vt:lpstr>Opt-2</vt:lpstr>
      <vt:lpstr>Opt-3</vt:lpstr>
      <vt:lpstr>Opt-4</vt:lpstr>
      <vt:lpstr>Opt-5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Yu (PG/R - Chemistry &amp; Chem Eng)</dc:creator>
  <cp:lastModifiedBy>Zhang, Yu (PG/R - Chemistry &amp; Chem Eng)</cp:lastModifiedBy>
  <cp:lastPrinted>2025-06-11T16:43:22Z</cp:lastPrinted>
  <dcterms:created xsi:type="dcterms:W3CDTF">2015-06-05T18:17:20Z</dcterms:created>
  <dcterms:modified xsi:type="dcterms:W3CDTF">2025-11-21T19:22:42Z</dcterms:modified>
</cp:coreProperties>
</file>