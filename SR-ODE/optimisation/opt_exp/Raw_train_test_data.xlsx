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yz02380_surrey_ac_uk/Documents/Science Research/Codes/Symbolic Differential/SymODE/optimisation/opt_exp/"/>
    </mc:Choice>
  </mc:AlternateContent>
  <xr:revisionPtr revIDLastSave="502" documentId="11_F25DC773A252ABDACC1048C2A1DB7CBE5BDE5908" xr6:coauthVersionLast="47" xr6:coauthVersionMax="47" xr10:uidLastSave="{40CAEECE-B617-4432-84C1-29DF33376D3A}"/>
  <bookViews>
    <workbookView xWindow="28680" yWindow="-1995" windowWidth="29040" windowHeight="17640" activeTab="6" xr2:uid="{00000000-000D-0000-FFFF-FFFF00000000}"/>
  </bookViews>
  <sheets>
    <sheet name="ALL" sheetId="5" r:id="rId1"/>
    <sheet name="analysis" sheetId="6" r:id="rId2"/>
    <sheet name="Formulas-train" sheetId="1" r:id="rId3"/>
    <sheet name="Release-train" sheetId="2" r:id="rId4"/>
    <sheet name="Formulation-test" sheetId="3" r:id="rId5"/>
    <sheet name="Release-test" sheetId="4" r:id="rId6"/>
    <sheet name="Op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7" i="6" l="1"/>
  <c r="T37" i="6"/>
  <c r="U36" i="6"/>
  <c r="T36" i="6"/>
  <c r="U35" i="6"/>
  <c r="T35" i="6"/>
  <c r="U34" i="6"/>
  <c r="T34" i="6"/>
  <c r="U33" i="6"/>
  <c r="T33" i="6"/>
  <c r="U32" i="6"/>
  <c r="T32" i="6"/>
  <c r="U31" i="6"/>
  <c r="T31" i="6"/>
  <c r="U30" i="6"/>
  <c r="T30" i="6"/>
  <c r="U29" i="6"/>
  <c r="T29" i="6"/>
  <c r="U28" i="6"/>
  <c r="T28" i="6"/>
  <c r="U27" i="6"/>
  <c r="T27" i="6"/>
  <c r="U26" i="6"/>
  <c r="T26" i="6"/>
  <c r="U25" i="6"/>
  <c r="T25" i="6"/>
  <c r="U24" i="6"/>
  <c r="T24" i="6"/>
  <c r="U23" i="6"/>
  <c r="T23" i="6"/>
  <c r="U22" i="6"/>
  <c r="T22" i="6"/>
  <c r="U21" i="6"/>
  <c r="T21" i="6"/>
  <c r="U20" i="6"/>
  <c r="T20" i="6"/>
  <c r="U19" i="6"/>
  <c r="T19" i="6"/>
  <c r="U18" i="6"/>
  <c r="T18" i="6"/>
  <c r="U17" i="6"/>
  <c r="T17" i="6"/>
  <c r="U16" i="6"/>
  <c r="T16" i="6"/>
  <c r="U15" i="6"/>
  <c r="T15" i="6"/>
  <c r="U14" i="6"/>
  <c r="T14" i="6"/>
  <c r="U13" i="6"/>
  <c r="T13" i="6"/>
  <c r="U12" i="6"/>
  <c r="T12" i="6"/>
  <c r="U11" i="6"/>
  <c r="T11" i="6"/>
  <c r="U10" i="6"/>
  <c r="T10" i="6"/>
  <c r="U9" i="6"/>
  <c r="T9" i="6"/>
  <c r="U8" i="6"/>
  <c r="T8" i="6"/>
  <c r="U7" i="6"/>
  <c r="T7" i="6"/>
  <c r="U6" i="6"/>
  <c r="T6" i="6"/>
  <c r="U5" i="6"/>
  <c r="T5" i="6"/>
  <c r="U4" i="6"/>
  <c r="T4" i="6"/>
  <c r="U3" i="6"/>
  <c r="T3" i="6"/>
  <c r="W2" i="6"/>
  <c r="V2" i="6"/>
  <c r="U2" i="6"/>
  <c r="T2" i="6"/>
</calcChain>
</file>

<file path=xl/sharedStrings.xml><?xml version="1.0" encoding="utf-8"?>
<sst xmlns="http://schemas.openxmlformats.org/spreadsheetml/2006/main" count="237" uniqueCount="71">
  <si>
    <t>Run No</t>
  </si>
  <si>
    <t>Poloxamer 407</t>
  </si>
  <si>
    <t>Ethanol</t>
  </si>
  <si>
    <t>Propylene glycol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</si>
  <si>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</si>
  <si>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</si>
  <si>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</si>
  <si>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</si>
  <si>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</si>
  <si>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</si>
  <si>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</si>
  <si>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</si>
  <si>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</si>
  <si>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</si>
  <si>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</si>
  <si>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</si>
  <si>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</si>
  <si>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</si>
  <si>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</si>
  <si>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</si>
  <si>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</si>
  <si>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</si>
  <si>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</si>
  <si>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</si>
  <si>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</si>
  <si>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</si>
  <si>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</si>
  <si>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</si>
  <si>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</si>
  <si>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Opt-2</t>
  </si>
  <si>
    <t>Opt-4</t>
  </si>
  <si>
    <t>Opt-6</t>
  </si>
  <si>
    <t>Opt-7</t>
  </si>
  <si>
    <t>Opt-10</t>
  </si>
  <si>
    <t>R_t1</t>
  </si>
  <si>
    <t>R_t2</t>
  </si>
  <si>
    <t>R_t3</t>
  </si>
  <si>
    <t>R_t4</t>
  </si>
  <si>
    <t>R_t5</t>
  </si>
  <si>
    <t>R_t6</t>
  </si>
  <si>
    <t>R_t7</t>
  </si>
  <si>
    <t>Opt-2-1</t>
  </si>
  <si>
    <t>Opt-2-4</t>
  </si>
  <si>
    <t>Opt-2-5</t>
  </si>
  <si>
    <t>Opt-2-7</t>
  </si>
  <si>
    <t>Opt-2-8</t>
  </si>
  <si>
    <t>Opt-2-10</t>
  </si>
  <si>
    <t>Std_t1</t>
  </si>
  <si>
    <t>Std_t2</t>
  </si>
  <si>
    <t>Std_t3</t>
  </si>
  <si>
    <t>Std_t4</t>
  </si>
  <si>
    <t>Std_t5</t>
  </si>
  <si>
    <t>Std_t6</t>
  </si>
  <si>
    <t>Std_t7</t>
  </si>
  <si>
    <t>High</t>
  </si>
  <si>
    <t>Low</t>
  </si>
  <si>
    <t>High-max</t>
  </si>
  <si>
    <t>Low-min</t>
  </si>
  <si>
    <t xml:space="preserve">Propylene glycol </t>
  </si>
  <si>
    <t>OPT-1</t>
  </si>
  <si>
    <t>M_t1</t>
  </si>
  <si>
    <t>M_t2</t>
  </si>
  <si>
    <t>M_t3</t>
  </si>
  <si>
    <t>M_t4</t>
  </si>
  <si>
    <t>M_t5</t>
  </si>
  <si>
    <t>M_t6</t>
  </si>
  <si>
    <t>M_t7</t>
  </si>
  <si>
    <t>OPT-2</t>
  </si>
  <si>
    <t>OPT-3</t>
  </si>
  <si>
    <t>OPT-4</t>
  </si>
  <si>
    <t>OPT-5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</si>
</sst>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/>
    </xf>
    <xf numFmtId="0" fontId="0" fillId="2" borderId="0" xfId="0" applyFill="1"/>
    <xf numFmtId="4" fontId="2" fillId="0" borderId="0" xfId="0" applyNumberFormat="1" applyFont="1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3" fillId="0" borderId="0" xfId="0" applyFont="1"/>
    <xf numFmtId="0" fontId="3" fillId="5" borderId="0" xfId="0" applyFont="1" applyFill="1"/>
    <xf numFmtId="0" fontId="1" fillId="5" borderId="0" xfId="0" applyFont="1" applyFill="1"/>
    <xf numFmtId="4" fontId="4" fillId="5" borderId="0" xfId="0" applyNumberFormat="1" applyFont="1" applyFill="1" applyAlignment="1">
      <alignment horizontal="right"/>
    </xf>
    <xf numFmtId="0" fontId="0" fillId="0" borderId="0" xfId="0" applyAlignment="1">
      <alignment vertical="center"/>
    </xf>
    <xf numFmtId="4" fontId="0" fillId="3" borderId="0" xfId="0" applyNumberFormat="1" applyFill="1" applyAlignment="1">
      <alignment horizontal="right"/>
    </xf>
    <xf numFmtId="0" fontId="0" fillId="6" borderId="0" xfId="0" applyFill="1"/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6DB8-000A-46C9-A0F3-8164B11134F4}">
  <dimension ref="A1:Y37"/>
  <sheetViews>
    <sheetView zoomScale="115" zoomScaleNormal="115" workbookViewId="0">
      <selection activeCell="T10" sqref="T10"/>
    </sheetView>
  </sheetViews>
  <sheetFormatPr defaultRowHeight="14.5" x14ac:dyDescent="0.35"/>
  <cols>
    <col min="2" max="2" width="13.81640625" customWidth="1"/>
    <col min="4" max="4" width="15.90625" customWidth="1"/>
    <col min="19" max="19" width="8.7265625" customWidth="1"/>
  </cols>
  <sheetData>
    <row r="1" spans="1:23" x14ac:dyDescent="0.35">
      <c r="A1" t="s">
        <v>0</v>
      </c>
      <c r="B1" s="1" t="s">
        <v>1</v>
      </c>
      <c r="C1" s="1" t="s">
        <v>2</v>
      </c>
      <c r="D1" s="1" t="s">
        <v>3</v>
      </c>
      <c r="E1" s="15" t="s">
        <v>60</v>
      </c>
      <c r="F1" s="14" t="s">
        <v>47</v>
      </c>
      <c r="G1" s="15" t="s">
        <v>61</v>
      </c>
      <c r="H1" s="14" t="s">
        <v>48</v>
      </c>
      <c r="I1" s="15" t="s">
        <v>62</v>
      </c>
      <c r="J1" s="14" t="s">
        <v>49</v>
      </c>
      <c r="K1" s="15" t="s">
        <v>63</v>
      </c>
      <c r="L1" s="14" t="s">
        <v>50</v>
      </c>
      <c r="M1" s="15" t="s">
        <v>64</v>
      </c>
      <c r="N1" s="14" t="s">
        <v>51</v>
      </c>
      <c r="O1" s="15" t="s">
        <v>65</v>
      </c>
      <c r="P1" s="14" t="s">
        <v>52</v>
      </c>
      <c r="Q1" s="15" t="s">
        <v>66</v>
      </c>
      <c r="R1" s="14" t="s">
        <v>53</v>
      </c>
    </row>
    <row r="2" spans="1:23" x14ac:dyDescent="0.35">
      <c r="A2" t="s">
        <v>4</v>
      </c>
      <c r="B2" s="2">
        <v>30</v>
      </c>
      <c r="C2" s="2">
        <v>20</v>
      </c>
      <c r="D2" s="2">
        <v>15</v>
      </c>
      <c r="E2">
        <v>134.15693630965262</v>
      </c>
      <c r="F2">
        <v>5.7861989807452812</v>
      </c>
      <c r="G2">
        <v>295.66748221125511</v>
      </c>
      <c r="H2">
        <v>23.702053701923418</v>
      </c>
      <c r="I2">
        <v>702.56851456685195</v>
      </c>
      <c r="J2">
        <v>28.406029942442846</v>
      </c>
      <c r="K2">
        <v>1049.7659856775028</v>
      </c>
      <c r="L2">
        <v>51.287594676159372</v>
      </c>
      <c r="M2">
        <v>1314.0278164942415</v>
      </c>
      <c r="N2">
        <v>32.055633243142246</v>
      </c>
      <c r="O2">
        <v>1586.6921310205566</v>
      </c>
      <c r="P2">
        <v>20.634550168010865</v>
      </c>
      <c r="Q2">
        <v>1842.9158885435809</v>
      </c>
      <c r="R2">
        <v>14.43980604588098</v>
      </c>
      <c r="V2" s="8"/>
      <c r="W2" s="8"/>
    </row>
    <row r="3" spans="1:23" x14ac:dyDescent="0.35">
      <c r="A3" t="s">
        <v>5</v>
      </c>
      <c r="B3" s="2">
        <v>30</v>
      </c>
      <c r="C3" s="2">
        <v>15</v>
      </c>
      <c r="D3" s="2">
        <v>10</v>
      </c>
      <c r="E3">
        <v>155.2184253239642</v>
      </c>
      <c r="F3">
        <v>28.834464277693723</v>
      </c>
      <c r="G3">
        <v>317.86060207284942</v>
      </c>
      <c r="H3">
        <v>30.063399474901754</v>
      </c>
      <c r="I3">
        <v>693.66280307128477</v>
      </c>
      <c r="J3">
        <v>52.885871944681696</v>
      </c>
      <c r="K3">
        <v>1070.3519958264608</v>
      </c>
      <c r="L3">
        <v>63.437072972812018</v>
      </c>
      <c r="M3">
        <v>1439.1469582880986</v>
      </c>
      <c r="N3">
        <v>75.806286072058469</v>
      </c>
      <c r="O3">
        <v>1832.7227377170466</v>
      </c>
      <c r="P3">
        <v>65.986278917063373</v>
      </c>
      <c r="Q3">
        <v>2082.5964452205849</v>
      </c>
      <c r="R3">
        <v>37.244852900494038</v>
      </c>
    </row>
    <row r="4" spans="1:23" x14ac:dyDescent="0.35">
      <c r="A4" t="s">
        <v>6</v>
      </c>
      <c r="B4" s="2">
        <v>25</v>
      </c>
      <c r="C4" s="2">
        <v>20</v>
      </c>
      <c r="D4" s="2">
        <v>20</v>
      </c>
      <c r="E4">
        <v>129.38092075610854</v>
      </c>
      <c r="F4">
        <v>33.535800610646042</v>
      </c>
      <c r="G4">
        <v>285.57195666409194</v>
      </c>
      <c r="H4">
        <v>13.92755680553352</v>
      </c>
      <c r="I4">
        <v>707.17601710851545</v>
      </c>
      <c r="J4">
        <v>37.104915941502895</v>
      </c>
      <c r="K4">
        <v>1043.2101350453927</v>
      </c>
      <c r="L4">
        <v>75.726122621444262</v>
      </c>
      <c r="M4">
        <v>1309.5027388502185</v>
      </c>
      <c r="N4">
        <v>56.774416229664411</v>
      </c>
      <c r="O4">
        <v>1641.9107818783384</v>
      </c>
      <c r="P4">
        <v>80.963807393839872</v>
      </c>
      <c r="Q4">
        <v>1845.6820324903026</v>
      </c>
      <c r="R4">
        <v>81.293856016511512</v>
      </c>
    </row>
    <row r="5" spans="1:23" x14ac:dyDescent="0.35">
      <c r="A5" t="s">
        <v>7</v>
      </c>
      <c r="B5" s="2">
        <v>25</v>
      </c>
      <c r="C5" s="2">
        <v>15</v>
      </c>
      <c r="D5" s="2">
        <v>15</v>
      </c>
      <c r="E5">
        <v>128.675603633538</v>
      </c>
      <c r="F5">
        <v>25.722861491774555</v>
      </c>
      <c r="G5">
        <v>256.00477386160094</v>
      </c>
      <c r="H5">
        <v>38.934115853754079</v>
      </c>
      <c r="I5">
        <v>683.70089043564269</v>
      </c>
      <c r="J5">
        <v>18.435835991804037</v>
      </c>
      <c r="K5">
        <v>1083.2862596503442</v>
      </c>
      <c r="L5">
        <v>21.830641954181562</v>
      </c>
      <c r="M5">
        <v>1472.3284605043798</v>
      </c>
      <c r="N5">
        <v>75.257717416580249</v>
      </c>
      <c r="O5">
        <v>1857.2891829494881</v>
      </c>
      <c r="P5">
        <v>111.18768055341461</v>
      </c>
      <c r="Q5">
        <v>2295.6827176731099</v>
      </c>
      <c r="R5">
        <v>145.35432523483874</v>
      </c>
    </row>
    <row r="6" spans="1:23" x14ac:dyDescent="0.35">
      <c r="A6" t="s">
        <v>8</v>
      </c>
      <c r="B6" s="2">
        <v>25</v>
      </c>
      <c r="C6" s="2">
        <v>10</v>
      </c>
      <c r="D6" s="2">
        <v>20</v>
      </c>
      <c r="E6">
        <v>82.248173016388478</v>
      </c>
      <c r="F6">
        <v>25.62398406769741</v>
      </c>
      <c r="G6">
        <v>273.8006796174119</v>
      </c>
      <c r="H6">
        <v>9.604100703399471</v>
      </c>
      <c r="I6">
        <v>656.75956914735139</v>
      </c>
      <c r="J6">
        <v>33.15865445608884</v>
      </c>
      <c r="K6">
        <v>1028.514334700646</v>
      </c>
      <c r="L6">
        <v>43.802584295035828</v>
      </c>
      <c r="M6">
        <v>1325.949298897847</v>
      </c>
      <c r="N6">
        <v>48.90061864216041</v>
      </c>
      <c r="O6">
        <v>1643.8520109680831</v>
      </c>
      <c r="P6">
        <v>75.730083141450407</v>
      </c>
      <c r="Q6">
        <v>1985.336765276757</v>
      </c>
      <c r="R6">
        <v>69.418693256406115</v>
      </c>
    </row>
    <row r="7" spans="1:23" x14ac:dyDescent="0.35">
      <c r="A7" t="s">
        <v>9</v>
      </c>
      <c r="B7" s="2">
        <v>25</v>
      </c>
      <c r="C7" s="2">
        <v>20</v>
      </c>
      <c r="D7" s="2">
        <v>10</v>
      </c>
      <c r="E7">
        <v>141.70722972507849</v>
      </c>
      <c r="F7">
        <v>42.824846756302229</v>
      </c>
      <c r="G7">
        <v>353.88293185708903</v>
      </c>
      <c r="H7">
        <v>91.383446408591567</v>
      </c>
      <c r="I7">
        <v>720.10994179782836</v>
      </c>
      <c r="J7">
        <v>92.956031793597774</v>
      </c>
      <c r="K7">
        <v>1060.1679966166175</v>
      </c>
      <c r="L7">
        <v>96.791223703708567</v>
      </c>
      <c r="M7">
        <v>1366.1314894323796</v>
      </c>
      <c r="N7">
        <v>87.437030974292895</v>
      </c>
      <c r="O7">
        <v>1646.8152296029832</v>
      </c>
      <c r="P7">
        <v>84.406040024426602</v>
      </c>
      <c r="Q7">
        <v>1986.8871000413665</v>
      </c>
      <c r="R7">
        <v>93.352227790774208</v>
      </c>
    </row>
    <row r="8" spans="1:23" x14ac:dyDescent="0.35">
      <c r="A8" t="s">
        <v>10</v>
      </c>
      <c r="B8" s="2">
        <v>20</v>
      </c>
      <c r="C8" s="2">
        <v>20</v>
      </c>
      <c r="D8" s="2">
        <v>15</v>
      </c>
      <c r="E8">
        <v>230.28789547447457</v>
      </c>
      <c r="F8">
        <v>104.916957450022</v>
      </c>
      <c r="G8">
        <v>438.37153586089039</v>
      </c>
      <c r="H8">
        <v>122.65848147774105</v>
      </c>
      <c r="I8">
        <v>809.36982178236201</v>
      </c>
      <c r="J8">
        <v>145.022803297954</v>
      </c>
      <c r="K8">
        <v>1175.9426940513561</v>
      </c>
      <c r="L8">
        <v>104.67259994718395</v>
      </c>
      <c r="M8">
        <v>1482.2398676029891</v>
      </c>
      <c r="N8">
        <v>53.031362846962374</v>
      </c>
      <c r="O8">
        <v>1778.393004041186</v>
      </c>
      <c r="P8">
        <v>20.770267644631897</v>
      </c>
      <c r="Q8">
        <v>2044.5419390129709</v>
      </c>
      <c r="R8">
        <v>22.031603212765848</v>
      </c>
    </row>
    <row r="9" spans="1:23" x14ac:dyDescent="0.35">
      <c r="A9" t="s">
        <v>11</v>
      </c>
      <c r="B9" s="2">
        <v>30</v>
      </c>
      <c r="C9" s="2">
        <v>10</v>
      </c>
      <c r="D9" s="2">
        <v>15</v>
      </c>
      <c r="E9">
        <v>120.28284365014565</v>
      </c>
      <c r="F9">
        <v>25.830771736145945</v>
      </c>
      <c r="G9">
        <v>275.07384376753851</v>
      </c>
      <c r="H9">
        <v>32.427926102417871</v>
      </c>
      <c r="I9">
        <v>696.48791747458813</v>
      </c>
      <c r="J9">
        <v>25.28794570254076</v>
      </c>
      <c r="K9">
        <v>1073.9376584769275</v>
      </c>
      <c r="L9">
        <v>31.313312818990738</v>
      </c>
      <c r="M9">
        <v>1333.6037652298746</v>
      </c>
      <c r="N9">
        <v>31.404584353007785</v>
      </c>
      <c r="O9">
        <v>1619.8208791708735</v>
      </c>
      <c r="P9">
        <v>71.084193232802903</v>
      </c>
      <c r="Q9">
        <v>1913.1249203490643</v>
      </c>
      <c r="R9">
        <v>50.705570631047081</v>
      </c>
    </row>
    <row r="10" spans="1:23" x14ac:dyDescent="0.35">
      <c r="A10" t="s">
        <v>12</v>
      </c>
      <c r="B10" s="2">
        <v>20</v>
      </c>
      <c r="C10" s="2">
        <v>15</v>
      </c>
      <c r="D10" s="2">
        <v>10</v>
      </c>
      <c r="E10">
        <v>148.3096914442153</v>
      </c>
      <c r="F10">
        <v>19.378788376663099</v>
      </c>
      <c r="G10">
        <v>312.56107645023599</v>
      </c>
      <c r="H10">
        <v>18.008517434585286</v>
      </c>
      <c r="I10">
        <v>749.56345776884098</v>
      </c>
      <c r="J10">
        <v>36.196783426294246</v>
      </c>
      <c r="K10">
        <v>1126.6104407969563</v>
      </c>
      <c r="L10">
        <v>4.0526870831770339</v>
      </c>
      <c r="M10">
        <v>1389.9065975124131</v>
      </c>
      <c r="N10">
        <v>65.817599934917553</v>
      </c>
      <c r="O10">
        <v>1670.77197896603</v>
      </c>
      <c r="P10">
        <v>52.896949911928118</v>
      </c>
      <c r="Q10">
        <v>1965.4044397199698</v>
      </c>
      <c r="R10">
        <v>21.998987088333024</v>
      </c>
    </row>
    <row r="11" spans="1:23" x14ac:dyDescent="0.35">
      <c r="A11" t="s">
        <v>13</v>
      </c>
      <c r="B11" s="2">
        <v>25</v>
      </c>
      <c r="C11" s="2">
        <v>10</v>
      </c>
      <c r="D11" s="2">
        <v>10</v>
      </c>
      <c r="E11">
        <v>103.34216532884602</v>
      </c>
      <c r="F11">
        <v>38.525424204603063</v>
      </c>
      <c r="G11">
        <v>295.90536115165133</v>
      </c>
      <c r="H11">
        <v>40.17247257834525</v>
      </c>
      <c r="I11">
        <v>797.76148267791166</v>
      </c>
      <c r="J11">
        <v>72.641918486923615</v>
      </c>
      <c r="K11">
        <v>1222.6072286088163</v>
      </c>
      <c r="L11">
        <v>90.338091877061501</v>
      </c>
      <c r="M11">
        <v>1663.8220171400624</v>
      </c>
      <c r="N11">
        <v>67.91046864526534</v>
      </c>
      <c r="O11">
        <v>2149.9421888444358</v>
      </c>
      <c r="P11">
        <v>68.867610951139199</v>
      </c>
      <c r="Q11">
        <v>2527.3139375496403</v>
      </c>
      <c r="R11">
        <v>39.838858842690179</v>
      </c>
    </row>
    <row r="12" spans="1:23" x14ac:dyDescent="0.35">
      <c r="A12" t="s">
        <v>14</v>
      </c>
      <c r="B12" s="2">
        <v>20</v>
      </c>
      <c r="C12" s="2">
        <v>15</v>
      </c>
      <c r="D12" s="2">
        <v>20</v>
      </c>
      <c r="E12">
        <v>125.3695364380734</v>
      </c>
      <c r="F12">
        <v>16.374751000132122</v>
      </c>
      <c r="G12">
        <v>295.97780921406257</v>
      </c>
      <c r="H12">
        <v>9.7777140011023338</v>
      </c>
      <c r="I12">
        <v>667.34455161347557</v>
      </c>
      <c r="J12">
        <v>10.039816513556378</v>
      </c>
      <c r="K12">
        <v>1038.7916540307394</v>
      </c>
      <c r="L12">
        <v>20.628290529568488</v>
      </c>
      <c r="M12">
        <v>1352.9741960942113</v>
      </c>
      <c r="N12">
        <v>3.3073569246200218</v>
      </c>
      <c r="O12">
        <v>1668.5630736353603</v>
      </c>
      <c r="P12">
        <v>14.396952911514669</v>
      </c>
      <c r="Q12">
        <v>1966.1088230642242</v>
      </c>
      <c r="R12">
        <v>8.3123114845732093</v>
      </c>
    </row>
    <row r="13" spans="1:23" x14ac:dyDescent="0.35">
      <c r="A13" t="s">
        <v>15</v>
      </c>
      <c r="B13" s="2">
        <v>30</v>
      </c>
      <c r="C13" s="2">
        <v>15</v>
      </c>
      <c r="D13" s="2">
        <v>20</v>
      </c>
      <c r="E13">
        <v>110.28277652891136</v>
      </c>
      <c r="F13">
        <v>15.99211286935439</v>
      </c>
      <c r="G13">
        <v>241.48138282013252</v>
      </c>
      <c r="H13">
        <v>21.621095647892595</v>
      </c>
      <c r="I13">
        <v>616.88885053237323</v>
      </c>
      <c r="J13">
        <v>53.889909417308722</v>
      </c>
      <c r="K13">
        <v>955.73109370665566</v>
      </c>
      <c r="L13">
        <v>56.683978752175648</v>
      </c>
      <c r="M13">
        <v>1288.9265110794638</v>
      </c>
      <c r="N13">
        <v>42.631360317952023</v>
      </c>
      <c r="O13">
        <v>1576.4642694997949</v>
      </c>
      <c r="P13">
        <v>35.252356472692817</v>
      </c>
      <c r="Q13">
        <v>1820.9491668089763</v>
      </c>
      <c r="R13">
        <v>85.725335091995888</v>
      </c>
      <c r="U13" s="9"/>
    </row>
    <row r="14" spans="1:23" x14ac:dyDescent="0.35">
      <c r="A14" t="s">
        <v>16</v>
      </c>
      <c r="B14" s="2">
        <v>20</v>
      </c>
      <c r="C14" s="2">
        <v>10</v>
      </c>
      <c r="D14" s="2">
        <v>15</v>
      </c>
      <c r="E14">
        <v>131.58406604056546</v>
      </c>
      <c r="F14">
        <v>11.981488228526736</v>
      </c>
      <c r="G14">
        <v>304.98521992748232</v>
      </c>
      <c r="H14">
        <v>16.962946761009515</v>
      </c>
      <c r="I14">
        <v>813.46181497819316</v>
      </c>
      <c r="J14">
        <v>45.620497126507637</v>
      </c>
      <c r="K14">
        <v>1230.8917187948712</v>
      </c>
      <c r="L14">
        <v>74.559000555552188</v>
      </c>
      <c r="M14">
        <v>1628.028346267499</v>
      </c>
      <c r="N14">
        <v>88.020677808099649</v>
      </c>
      <c r="O14">
        <v>2039.5037694638474</v>
      </c>
      <c r="P14">
        <v>89.912392396966411</v>
      </c>
      <c r="Q14">
        <v>2279.7382173637438</v>
      </c>
      <c r="R14">
        <v>87.015396089844714</v>
      </c>
    </row>
    <row r="15" spans="1:23" x14ac:dyDescent="0.35">
      <c r="A15" t="s">
        <v>17</v>
      </c>
      <c r="B15" s="2">
        <v>25</v>
      </c>
      <c r="C15" s="2">
        <v>15</v>
      </c>
      <c r="D15" s="2">
        <v>15</v>
      </c>
      <c r="E15">
        <v>74.483813499945029</v>
      </c>
      <c r="F15">
        <v>11.236698476313279</v>
      </c>
      <c r="G15">
        <v>218.49834599070701</v>
      </c>
      <c r="H15">
        <v>17.833745839256444</v>
      </c>
      <c r="I15">
        <v>686.03914866777984</v>
      </c>
      <c r="J15">
        <v>26.927769905705318</v>
      </c>
      <c r="K15">
        <v>988.64187780356463</v>
      </c>
      <c r="L15">
        <v>9.9881742702133884</v>
      </c>
      <c r="M15">
        <v>1315.7262076232382</v>
      </c>
      <c r="N15">
        <v>40.620262273371672</v>
      </c>
      <c r="O15">
        <v>1645.2057486607271</v>
      </c>
      <c r="P15">
        <v>42.452858957350877</v>
      </c>
      <c r="Q15">
        <v>1882.9579521221331</v>
      </c>
      <c r="R15">
        <v>59.346384150733584</v>
      </c>
    </row>
    <row r="16" spans="1:23" x14ac:dyDescent="0.35">
      <c r="A16" t="s">
        <v>18</v>
      </c>
      <c r="B16" s="2">
        <v>25</v>
      </c>
      <c r="C16" s="2">
        <v>15</v>
      </c>
      <c r="D16" s="2">
        <v>15</v>
      </c>
      <c r="E16">
        <v>151.68530344491455</v>
      </c>
      <c r="F16">
        <v>23.5003906779605</v>
      </c>
      <c r="G16">
        <v>288.38716646317761</v>
      </c>
      <c r="H16">
        <v>14.118360969448002</v>
      </c>
      <c r="I16">
        <v>733.95808295225208</v>
      </c>
      <c r="J16">
        <v>80.04473450684111</v>
      </c>
      <c r="K16">
        <v>1130.3800910710388</v>
      </c>
      <c r="L16">
        <v>110.41746694964681</v>
      </c>
      <c r="M16">
        <v>1469.4911543461446</v>
      </c>
      <c r="N16">
        <v>45.043266765555607</v>
      </c>
      <c r="O16">
        <v>1845.5575047331279</v>
      </c>
      <c r="P16">
        <v>71.395631819384306</v>
      </c>
      <c r="Q16">
        <v>2023.4629109534023</v>
      </c>
      <c r="R16">
        <v>98.304874965274095</v>
      </c>
    </row>
    <row r="17" spans="1:18" x14ac:dyDescent="0.35">
      <c r="A17" s="3" t="s">
        <v>19</v>
      </c>
      <c r="B17" s="2">
        <v>21</v>
      </c>
      <c r="C17" s="4">
        <v>16.600000000000001</v>
      </c>
      <c r="D17" s="4">
        <v>17.3</v>
      </c>
      <c r="E17" s="6">
        <v>178.20818060763978</v>
      </c>
      <c r="F17">
        <v>8.2197016676127852</v>
      </c>
      <c r="G17" s="6">
        <v>418.73080772052481</v>
      </c>
      <c r="H17">
        <v>10.523186200345172</v>
      </c>
      <c r="I17" s="6">
        <v>933.84962327271626</v>
      </c>
      <c r="J17" s="13">
        <v>50.578278097514016</v>
      </c>
      <c r="K17" s="6">
        <v>1395.4619108343177</v>
      </c>
      <c r="L17" s="13">
        <v>61.224783474496405</v>
      </c>
      <c r="M17" s="6">
        <v>1854.1935510875076</v>
      </c>
      <c r="N17">
        <v>56.65004435367009</v>
      </c>
      <c r="O17" s="6">
        <v>2255.4789039318584</v>
      </c>
      <c r="P17">
        <v>42.77997767258335</v>
      </c>
      <c r="Q17" s="6">
        <v>2668.9226092268832</v>
      </c>
      <c r="R17">
        <v>21.658425504319215</v>
      </c>
    </row>
    <row r="18" spans="1:18" x14ac:dyDescent="0.35">
      <c r="A18" s="3" t="s">
        <v>20</v>
      </c>
      <c r="B18" s="4">
        <v>21.3</v>
      </c>
      <c r="C18" s="2">
        <v>20</v>
      </c>
      <c r="D18" s="4">
        <v>10.6</v>
      </c>
      <c r="E18">
        <v>185.99180025903954</v>
      </c>
      <c r="F18">
        <v>15.706052532368645</v>
      </c>
      <c r="G18">
        <v>399.43594901115921</v>
      </c>
      <c r="H18">
        <v>13.781983321990793</v>
      </c>
      <c r="I18">
        <v>886.65517609420567</v>
      </c>
      <c r="J18">
        <v>41.45992992071416</v>
      </c>
      <c r="K18">
        <v>1352.1616450222004</v>
      </c>
      <c r="L18">
        <v>0.88204859115558065</v>
      </c>
      <c r="M18">
        <v>1844.1960382180175</v>
      </c>
      <c r="N18">
        <v>35.767537572159767</v>
      </c>
      <c r="O18">
        <v>2195.3349993083852</v>
      </c>
      <c r="P18">
        <v>239.91735095795636</v>
      </c>
      <c r="Q18">
        <v>2584.3181040261829</v>
      </c>
      <c r="R18">
        <v>238.24408478386005</v>
      </c>
    </row>
    <row r="19" spans="1:18" x14ac:dyDescent="0.35">
      <c r="A19" s="3" t="s">
        <v>21</v>
      </c>
      <c r="B19" s="4">
        <v>22.7</v>
      </c>
      <c r="C19" s="4">
        <v>14.4</v>
      </c>
      <c r="D19" s="2">
        <v>16</v>
      </c>
      <c r="E19">
        <v>170.73339390465418</v>
      </c>
      <c r="F19">
        <v>6.2083479766217664</v>
      </c>
      <c r="G19">
        <v>433.41519262476021</v>
      </c>
      <c r="H19">
        <v>26.403737657098858</v>
      </c>
      <c r="I19">
        <v>854.4769211836898</v>
      </c>
      <c r="J19">
        <v>43.488285079060844</v>
      </c>
      <c r="K19">
        <v>1320.314250640768</v>
      </c>
      <c r="L19">
        <v>145.72581815669821</v>
      </c>
      <c r="M19">
        <v>1799.5979400905849</v>
      </c>
      <c r="N19">
        <v>201.87281255539668</v>
      </c>
      <c r="O19">
        <v>2280.6632962272133</v>
      </c>
      <c r="P19">
        <v>190.28847273097364</v>
      </c>
      <c r="Q19">
        <v>2705.3571303612052</v>
      </c>
      <c r="R19">
        <v>193.53854518964934</v>
      </c>
    </row>
    <row r="20" spans="1:18" x14ac:dyDescent="0.35">
      <c r="A20" s="3" t="s">
        <v>22</v>
      </c>
      <c r="B20" s="4">
        <v>23.5</v>
      </c>
      <c r="C20" s="4">
        <v>17.899999999999999</v>
      </c>
      <c r="D20" s="4">
        <v>18.100000000000001</v>
      </c>
      <c r="E20">
        <v>171.83335037719999</v>
      </c>
      <c r="F20">
        <v>17.608382057039918</v>
      </c>
      <c r="G20">
        <v>402.99849897150887</v>
      </c>
      <c r="H20">
        <v>10.843701509803958</v>
      </c>
      <c r="I20">
        <v>851.54420346177562</v>
      </c>
      <c r="J20">
        <v>81.867588906841704</v>
      </c>
      <c r="K20">
        <v>1310.4940691485417</v>
      </c>
      <c r="L20">
        <v>185.31084216738486</v>
      </c>
      <c r="M20">
        <v>1773.0249448412189</v>
      </c>
      <c r="N20">
        <v>239.20699214901597</v>
      </c>
      <c r="O20">
        <v>2208.1314050162505</v>
      </c>
      <c r="P20">
        <v>264.22229896708757</v>
      </c>
      <c r="Q20">
        <v>2643.8865042211705</v>
      </c>
      <c r="R20">
        <v>249.51014783951621</v>
      </c>
    </row>
    <row r="21" spans="1:18" x14ac:dyDescent="0.35">
      <c r="A21" s="3" t="s">
        <v>23</v>
      </c>
      <c r="B21" s="4">
        <v>24.3</v>
      </c>
      <c r="C21" s="4">
        <v>13.1</v>
      </c>
      <c r="D21" s="4">
        <v>11.9</v>
      </c>
      <c r="E21">
        <v>172.84921396690351</v>
      </c>
      <c r="F21">
        <v>37.752145666348206</v>
      </c>
      <c r="G21">
        <v>294.4281211120724</v>
      </c>
      <c r="H21">
        <v>5.1639905114986817</v>
      </c>
      <c r="I21">
        <v>660.09642349398507</v>
      </c>
      <c r="J21">
        <v>25.748827976879063</v>
      </c>
      <c r="K21">
        <v>983.66931495068036</v>
      </c>
      <c r="L21">
        <v>52.651015645846883</v>
      </c>
      <c r="M21">
        <v>1348.8722790709294</v>
      </c>
      <c r="N21">
        <v>36.021064486958295</v>
      </c>
      <c r="O21">
        <v>1678.0066287439495</v>
      </c>
      <c r="P21">
        <v>68.67282568732189</v>
      </c>
      <c r="Q21">
        <v>2034.6650367030652</v>
      </c>
      <c r="R21">
        <v>85.831498551752887</v>
      </c>
    </row>
    <row r="22" spans="1:18" x14ac:dyDescent="0.35">
      <c r="A22" s="3" t="s">
        <v>24</v>
      </c>
      <c r="B22" s="4">
        <v>25.5</v>
      </c>
      <c r="C22" s="4">
        <v>10.1</v>
      </c>
      <c r="D22" s="4">
        <v>14.8</v>
      </c>
      <c r="E22">
        <v>83.654909917253036</v>
      </c>
      <c r="F22">
        <v>5.8972826853060063</v>
      </c>
      <c r="G22">
        <v>432.59691877708968</v>
      </c>
      <c r="H22">
        <v>16.209623333231214</v>
      </c>
      <c r="I22">
        <v>842.115078104075</v>
      </c>
      <c r="J22">
        <v>24.113357737325035</v>
      </c>
      <c r="K22">
        <v>1269.4876706526707</v>
      </c>
      <c r="L22">
        <v>41.991006010030866</v>
      </c>
      <c r="M22">
        <v>1736.2001161911921</v>
      </c>
      <c r="N22">
        <v>318.97227584764329</v>
      </c>
      <c r="O22">
        <v>2217.6335303307237</v>
      </c>
      <c r="P22">
        <v>56.219817171717395</v>
      </c>
      <c r="Q22">
        <v>2550.2516518600128</v>
      </c>
      <c r="R22">
        <v>74.55708619626273</v>
      </c>
    </row>
    <row r="23" spans="1:18" x14ac:dyDescent="0.35">
      <c r="A23" s="3" t="s">
        <v>25</v>
      </c>
      <c r="B23" s="4">
        <v>26.6</v>
      </c>
      <c r="C23" s="4">
        <v>11.6</v>
      </c>
      <c r="D23" s="4">
        <v>16.8</v>
      </c>
      <c r="E23">
        <v>85.723217658300584</v>
      </c>
      <c r="F23">
        <v>10.460476643188821</v>
      </c>
      <c r="G23">
        <v>250.62832140465844</v>
      </c>
      <c r="H23">
        <v>41.103745793252791</v>
      </c>
      <c r="I23">
        <v>592.04640423113472</v>
      </c>
      <c r="J23">
        <v>43.980661776491267</v>
      </c>
      <c r="K23">
        <v>942.82468908134422</v>
      </c>
      <c r="L23">
        <v>40.077576738924712</v>
      </c>
      <c r="M23">
        <v>1264.4485840432001</v>
      </c>
      <c r="N23">
        <v>47.388697200182726</v>
      </c>
      <c r="O23">
        <v>1630.3413683707399</v>
      </c>
      <c r="P23">
        <v>53.6643404365972</v>
      </c>
      <c r="Q23">
        <v>2005.4015880648101</v>
      </c>
      <c r="R23">
        <v>114.31473065112142</v>
      </c>
    </row>
    <row r="24" spans="1:18" x14ac:dyDescent="0.35">
      <c r="A24" s="3" t="s">
        <v>26</v>
      </c>
      <c r="B24" s="4">
        <v>27.2</v>
      </c>
      <c r="C24" s="4">
        <v>18.7</v>
      </c>
      <c r="D24" s="4">
        <v>13.1</v>
      </c>
      <c r="E24">
        <v>73.30105037357518</v>
      </c>
      <c r="F24">
        <v>15.359904821918084</v>
      </c>
      <c r="G24">
        <v>243.353927415177</v>
      </c>
      <c r="H24">
        <v>16.470761474172082</v>
      </c>
      <c r="I24">
        <v>646.03978281409206</v>
      </c>
      <c r="J24">
        <v>42.550158300247006</v>
      </c>
      <c r="K24">
        <v>1037.2357720510822</v>
      </c>
      <c r="L24">
        <v>49.912442473142605</v>
      </c>
      <c r="M24">
        <v>1428.4501021907522</v>
      </c>
      <c r="N24">
        <v>89.08201148939412</v>
      </c>
      <c r="O24">
        <v>1824.2375628328646</v>
      </c>
      <c r="P24">
        <v>97.939235896503703</v>
      </c>
      <c r="Q24">
        <v>2181.3841269950904</v>
      </c>
      <c r="R24">
        <v>74.275258432163341</v>
      </c>
    </row>
    <row r="25" spans="1:18" x14ac:dyDescent="0.35">
      <c r="A25" s="3" t="s">
        <v>27</v>
      </c>
      <c r="B25" s="4">
        <v>28.3</v>
      </c>
      <c r="C25" s="4">
        <v>15.5</v>
      </c>
      <c r="D25" s="4">
        <v>12.7</v>
      </c>
      <c r="E25">
        <v>87.597546053456497</v>
      </c>
      <c r="F25">
        <v>18.88918435871998</v>
      </c>
      <c r="G25">
        <v>254.07401340984515</v>
      </c>
      <c r="H25">
        <v>30.223027549800108</v>
      </c>
      <c r="I25">
        <v>604.46494929284756</v>
      </c>
      <c r="J25">
        <v>57.647837367929611</v>
      </c>
      <c r="K25">
        <v>985.04507101268337</v>
      </c>
      <c r="L25">
        <v>77.484396242771425</v>
      </c>
      <c r="M25">
        <v>1355.4320264904284</v>
      </c>
      <c r="N25">
        <v>99.204094083808542</v>
      </c>
      <c r="O25">
        <v>1718.8367990922068</v>
      </c>
      <c r="P25">
        <v>131.45840787697256</v>
      </c>
      <c r="Q25">
        <v>2074.6665262686915</v>
      </c>
      <c r="R25">
        <v>187.35593321036515</v>
      </c>
    </row>
    <row r="26" spans="1:18" x14ac:dyDescent="0.35">
      <c r="A26" s="5" t="s">
        <v>28</v>
      </c>
      <c r="B26" s="4">
        <v>29.2</v>
      </c>
      <c r="C26" s="4">
        <v>12.9</v>
      </c>
      <c r="D26" s="4">
        <v>19.600000000000001</v>
      </c>
      <c r="E26">
        <v>89.090892422813667</v>
      </c>
      <c r="F26">
        <v>29.113612028314684</v>
      </c>
      <c r="G26">
        <v>228.43682062643347</v>
      </c>
      <c r="H26">
        <v>33.717563116023221</v>
      </c>
      <c r="I26">
        <v>586.09048965770251</v>
      </c>
      <c r="J26">
        <v>18.522253642509522</v>
      </c>
      <c r="K26">
        <v>949.30785908980465</v>
      </c>
      <c r="L26">
        <v>51.406250435934069</v>
      </c>
      <c r="M26">
        <v>1370.3229658248624</v>
      </c>
      <c r="N26">
        <v>146.22465401405148</v>
      </c>
      <c r="O26">
        <v>1829.4560857074</v>
      </c>
      <c r="P26">
        <v>155.62483100965491</v>
      </c>
      <c r="Q26">
        <v>2158.75607469123</v>
      </c>
      <c r="R26">
        <v>170.02015748623188</v>
      </c>
    </row>
    <row r="27" spans="1:18" x14ac:dyDescent="0.35">
      <c r="A27" s="5" t="s">
        <v>29</v>
      </c>
      <c r="B27" s="4">
        <v>20</v>
      </c>
      <c r="C27" s="4">
        <v>19.989999999999998</v>
      </c>
      <c r="D27" s="4">
        <v>19.989999999999998</v>
      </c>
      <c r="E27">
        <v>150.76568313583357</v>
      </c>
      <c r="F27">
        <v>22.511541639215373</v>
      </c>
      <c r="G27">
        <v>374.37997643150288</v>
      </c>
      <c r="H27">
        <v>59.169587199893719</v>
      </c>
      <c r="I27">
        <v>765.39168344296672</v>
      </c>
      <c r="J27">
        <v>79.983778339688556</v>
      </c>
      <c r="K27">
        <v>1146.6354849064901</v>
      </c>
      <c r="L27">
        <v>67.315843385567149</v>
      </c>
      <c r="M27">
        <v>1685.9692686583694</v>
      </c>
      <c r="N27">
        <v>41.906484133658708</v>
      </c>
      <c r="O27">
        <v>2205.533444883391</v>
      </c>
      <c r="P27">
        <v>378.96661349060139</v>
      </c>
      <c r="Q27">
        <v>2963.2451806603653</v>
      </c>
      <c r="R27">
        <v>283.3964309682313</v>
      </c>
    </row>
    <row r="28" spans="1:18" x14ac:dyDescent="0.35">
      <c r="A28" s="5" t="s">
        <v>30</v>
      </c>
      <c r="B28" s="4">
        <v>29.78</v>
      </c>
      <c r="C28" s="4">
        <v>19.95</v>
      </c>
      <c r="D28" s="4">
        <v>19.93</v>
      </c>
      <c r="E28">
        <v>137.19334165215074</v>
      </c>
      <c r="F28">
        <v>13.669140738403444</v>
      </c>
      <c r="G28">
        <v>314.6611409242588</v>
      </c>
      <c r="H28">
        <v>27.070256966287822</v>
      </c>
      <c r="I28">
        <v>691.06105348001086</v>
      </c>
      <c r="J28">
        <v>60.138473416352333</v>
      </c>
      <c r="K28">
        <v>1008.3561681748452</v>
      </c>
      <c r="L28">
        <v>73.569358395101517</v>
      </c>
      <c r="M28">
        <v>1385.0868101763499</v>
      </c>
      <c r="N28">
        <v>155.35709927604967</v>
      </c>
      <c r="O28">
        <v>1649.7880839930613</v>
      </c>
      <c r="P28">
        <v>116.57696603461089</v>
      </c>
      <c r="Q28">
        <v>1968.5082757561465</v>
      </c>
      <c r="R28">
        <v>151.23869655010586</v>
      </c>
    </row>
    <row r="29" spans="1:18" x14ac:dyDescent="0.35">
      <c r="A29" s="5" t="s">
        <v>31</v>
      </c>
      <c r="B29" s="4">
        <v>20</v>
      </c>
      <c r="C29" s="4">
        <v>13.65</v>
      </c>
      <c r="D29" s="4">
        <v>19.97</v>
      </c>
      <c r="E29">
        <v>165.19129572494015</v>
      </c>
      <c r="F29">
        <v>21.431597174830955</v>
      </c>
      <c r="G29">
        <v>404.07387446842512</v>
      </c>
      <c r="H29">
        <v>64.008891922470269</v>
      </c>
      <c r="I29">
        <v>1196.7346454580086</v>
      </c>
      <c r="J29">
        <v>115.9443720259812</v>
      </c>
      <c r="K29">
        <v>1673.3384210449021</v>
      </c>
      <c r="L29">
        <v>172.58171583807106</v>
      </c>
      <c r="M29">
        <v>2178.8704510526095</v>
      </c>
      <c r="N29">
        <v>128.29555186752947</v>
      </c>
      <c r="O29">
        <v>2670.3290571238595</v>
      </c>
      <c r="P29">
        <v>67.014983228623677</v>
      </c>
      <c r="Q29">
        <v>2983.0961874122595</v>
      </c>
      <c r="R29">
        <v>290.22797205215511</v>
      </c>
    </row>
    <row r="30" spans="1:18" x14ac:dyDescent="0.35">
      <c r="A30" s="5" t="s">
        <v>32</v>
      </c>
      <c r="B30" s="4">
        <v>20</v>
      </c>
      <c r="C30" s="4">
        <v>11.5</v>
      </c>
      <c r="D30" s="4">
        <v>19.98</v>
      </c>
      <c r="E30">
        <v>168.79513087694622</v>
      </c>
      <c r="F30">
        <v>21.417051362630701</v>
      </c>
      <c r="G30">
        <v>374.09854224778405</v>
      </c>
      <c r="H30">
        <v>52.316969443176184</v>
      </c>
      <c r="I30">
        <v>1059.5929058623281</v>
      </c>
      <c r="J30">
        <v>310.7752379649134</v>
      </c>
      <c r="K30">
        <v>1514.6653576358433</v>
      </c>
      <c r="L30">
        <v>275.53340453864797</v>
      </c>
      <c r="M30">
        <v>2161.9626837644751</v>
      </c>
      <c r="N30">
        <v>200.20890427109944</v>
      </c>
      <c r="O30">
        <v>2595.5352248453037</v>
      </c>
      <c r="P30">
        <v>186.69589139438801</v>
      </c>
      <c r="Q30">
        <v>3008.198194823261</v>
      </c>
      <c r="R30">
        <v>157.69126971458809</v>
      </c>
    </row>
    <row r="31" spans="1:18" x14ac:dyDescent="0.35">
      <c r="A31" s="5" t="s">
        <v>33</v>
      </c>
      <c r="B31" s="4">
        <v>28.44</v>
      </c>
      <c r="C31" s="4">
        <v>19.95</v>
      </c>
      <c r="D31" s="4">
        <v>10.7</v>
      </c>
      <c r="E31">
        <v>68.88528518496193</v>
      </c>
      <c r="F31">
        <v>25.707944537071597</v>
      </c>
      <c r="G31">
        <v>283.72920056163275</v>
      </c>
      <c r="H31">
        <v>61.963278379142146</v>
      </c>
      <c r="I31">
        <v>623.76413123349482</v>
      </c>
      <c r="J31">
        <v>19.987895657328792</v>
      </c>
      <c r="K31">
        <v>951.72842962794766</v>
      </c>
      <c r="L31">
        <v>28.656061905662877</v>
      </c>
      <c r="M31">
        <v>1302.62401793345</v>
      </c>
      <c r="N31">
        <v>45.896237266036465</v>
      </c>
      <c r="O31">
        <v>1606.1446102942559</v>
      </c>
      <c r="P31">
        <v>68.243364924122631</v>
      </c>
      <c r="Q31">
        <v>1962.31756730292</v>
      </c>
      <c r="R31">
        <v>135.77968526149223</v>
      </c>
    </row>
    <row r="32" spans="1:18" x14ac:dyDescent="0.35">
      <c r="A32" s="7" t="s">
        <v>41</v>
      </c>
      <c r="B32" s="4">
        <v>20</v>
      </c>
      <c r="C32" s="4">
        <v>10.1</v>
      </c>
      <c r="D32" s="4">
        <v>19.989999999999998</v>
      </c>
      <c r="E32">
        <v>202.32970756963002</v>
      </c>
      <c r="F32">
        <v>33.268293660194935</v>
      </c>
      <c r="G32">
        <v>464.5757791687638</v>
      </c>
      <c r="H32">
        <v>35.495543310250184</v>
      </c>
      <c r="I32">
        <v>1193.3331037644784</v>
      </c>
      <c r="J32">
        <v>299.40204928108636</v>
      </c>
      <c r="K32">
        <v>1674.2430183382928</v>
      </c>
      <c r="L32">
        <v>222.00377394854274</v>
      </c>
      <c r="M32">
        <v>2277.6582310310619</v>
      </c>
      <c r="N32">
        <v>178.2252296131708</v>
      </c>
      <c r="O32">
        <v>2689.3351124118763</v>
      </c>
      <c r="P32">
        <v>171.1633226808448</v>
      </c>
      <c r="Q32">
        <v>3239.8487108096142</v>
      </c>
      <c r="R32">
        <v>170.93858066184706</v>
      </c>
    </row>
    <row r="33" spans="1:25" x14ac:dyDescent="0.35">
      <c r="A33" s="7" t="s">
        <v>42</v>
      </c>
      <c r="B33" s="4">
        <v>20</v>
      </c>
      <c r="C33" s="4">
        <v>10</v>
      </c>
      <c r="D33" s="4">
        <v>15.43</v>
      </c>
      <c r="E33">
        <v>181.73856363249791</v>
      </c>
      <c r="F33">
        <v>46.958273756137494</v>
      </c>
      <c r="G33">
        <v>433.04547686326089</v>
      </c>
      <c r="H33">
        <v>66.813998775198783</v>
      </c>
      <c r="I33">
        <v>846.69029014771752</v>
      </c>
      <c r="J33">
        <v>131.86486119105874</v>
      </c>
      <c r="K33">
        <v>1441.0552368710644</v>
      </c>
      <c r="L33">
        <v>284.69185846219847</v>
      </c>
      <c r="M33">
        <v>2102.4939331401138</v>
      </c>
      <c r="N33">
        <v>376.85376272365488</v>
      </c>
      <c r="O33">
        <v>2573.9099269324497</v>
      </c>
      <c r="P33">
        <v>396.73101621272508</v>
      </c>
      <c r="Q33">
        <v>3058.4934105145921</v>
      </c>
      <c r="R33">
        <v>318.62027317942795</v>
      </c>
    </row>
    <row r="34" spans="1:25" x14ac:dyDescent="0.35">
      <c r="A34" s="7" t="s">
        <v>43</v>
      </c>
      <c r="B34" s="4">
        <v>20</v>
      </c>
      <c r="C34" s="4">
        <v>10.08</v>
      </c>
      <c r="D34" s="4">
        <v>19.97</v>
      </c>
      <c r="E34">
        <v>187.75208138733211</v>
      </c>
      <c r="F34">
        <v>36.683550560961365</v>
      </c>
      <c r="G34">
        <v>466.78682562970454</v>
      </c>
      <c r="H34">
        <v>27.040898273827601</v>
      </c>
      <c r="I34">
        <v>1234.1807989918029</v>
      </c>
      <c r="J34">
        <v>226.4581695570651</v>
      </c>
      <c r="K34">
        <v>1719.7616757383635</v>
      </c>
      <c r="L34">
        <v>176.39774379846233</v>
      </c>
      <c r="M34">
        <v>2254.8485892388276</v>
      </c>
      <c r="N34">
        <v>110.39523756836513</v>
      </c>
      <c r="O34">
        <v>2801.7449591466334</v>
      </c>
      <c r="P34">
        <v>79.022035674954211</v>
      </c>
      <c r="Q34">
        <v>3234.4014361046247</v>
      </c>
      <c r="R34">
        <v>204.77084547870774</v>
      </c>
      <c r="T34" s="9"/>
    </row>
    <row r="35" spans="1:25" s="8" customFormat="1" x14ac:dyDescent="0.35">
      <c r="A35" s="11" t="s">
        <v>44</v>
      </c>
      <c r="B35" s="12">
        <v>20</v>
      </c>
      <c r="C35" s="12">
        <v>10.11</v>
      </c>
      <c r="D35" s="12">
        <v>19.97</v>
      </c>
      <c r="E35" s="11">
        <v>211.54866764945791</v>
      </c>
      <c r="F35">
        <v>36.764655463417711</v>
      </c>
      <c r="G35" s="11">
        <v>474.77114734029874</v>
      </c>
      <c r="H35">
        <v>76.251972865095183</v>
      </c>
      <c r="I35" s="11">
        <v>1052.4906148149266</v>
      </c>
      <c r="J35">
        <v>155.85252283035865</v>
      </c>
      <c r="K35" s="11">
        <v>1482.4754734745536</v>
      </c>
      <c r="L35" s="8">
        <v>188.68684436892198</v>
      </c>
      <c r="M35" s="11">
        <v>2066.7666808380959</v>
      </c>
      <c r="N35">
        <v>179.31310681632272</v>
      </c>
      <c r="O35" s="11">
        <v>2606.0242322624358</v>
      </c>
      <c r="P35">
        <v>215.62376117578344</v>
      </c>
      <c r="Q35" s="10">
        <v>3305.1355806718707</v>
      </c>
      <c r="R35">
        <v>116.6778098235575</v>
      </c>
      <c r="T35"/>
      <c r="U35"/>
      <c r="V35"/>
      <c r="X35"/>
      <c r="Y35"/>
    </row>
    <row r="36" spans="1:25" x14ac:dyDescent="0.35">
      <c r="A36" s="7" t="s">
        <v>45</v>
      </c>
      <c r="B36" s="4">
        <v>20</v>
      </c>
      <c r="C36" s="4">
        <v>10.15</v>
      </c>
      <c r="D36" s="4">
        <v>19.98</v>
      </c>
      <c r="E36">
        <v>194.94732666757088</v>
      </c>
      <c r="F36">
        <v>29.601653105368261</v>
      </c>
      <c r="G36">
        <v>512.46169739113122</v>
      </c>
      <c r="H36">
        <v>57.014540604683667</v>
      </c>
      <c r="I36">
        <v>1136.3666938877832</v>
      </c>
      <c r="J36">
        <v>129.95419440784733</v>
      </c>
      <c r="K36">
        <v>1513.7597991937823</v>
      </c>
      <c r="L36">
        <v>205.51015522520896</v>
      </c>
      <c r="M36">
        <v>2089.5991154406561</v>
      </c>
      <c r="N36">
        <v>164.51761549590813</v>
      </c>
      <c r="O36">
        <v>2562.0669623483896</v>
      </c>
      <c r="P36">
        <v>224.0646489930767</v>
      </c>
      <c r="Q36">
        <v>3092.0641254534062</v>
      </c>
      <c r="R36">
        <v>231.21035989365663</v>
      </c>
    </row>
    <row r="37" spans="1:25" x14ac:dyDescent="0.35">
      <c r="A37" s="7" t="s">
        <v>46</v>
      </c>
      <c r="B37" s="4">
        <v>20</v>
      </c>
      <c r="C37" s="4">
        <v>10.07</v>
      </c>
      <c r="D37" s="4">
        <v>12.53</v>
      </c>
      <c r="E37">
        <v>142.53719695877999</v>
      </c>
      <c r="F37">
        <v>22.054319760776142</v>
      </c>
      <c r="G37">
        <v>391.38180281936025</v>
      </c>
      <c r="H37">
        <v>36.811643775233605</v>
      </c>
      <c r="I37">
        <v>935.78509807829289</v>
      </c>
      <c r="J37">
        <v>140.97475030349307</v>
      </c>
      <c r="K37">
        <v>1261.1204433825148</v>
      </c>
      <c r="L37">
        <v>119.36063775559991</v>
      </c>
      <c r="M37">
        <v>1739.2963202189189</v>
      </c>
      <c r="N37">
        <v>84.448083086167301</v>
      </c>
      <c r="O37">
        <v>2401.110692476092</v>
      </c>
      <c r="P37">
        <v>201.06076656063772</v>
      </c>
      <c r="Q37">
        <v>2871.5621428769723</v>
      </c>
      <c r="R37">
        <v>221.73723949145926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8B8F-9432-413B-A9C2-24544F1887CB}">
  <dimension ref="A1:Y37"/>
  <sheetViews>
    <sheetView zoomScale="115" zoomScaleNormal="115" workbookViewId="0">
      <selection activeCell="P19" sqref="P19"/>
    </sheetView>
  </sheetViews>
  <sheetFormatPr defaultRowHeight="14.5" x14ac:dyDescent="0.35"/>
  <cols>
    <col min="2" max="2" width="13.81640625" customWidth="1"/>
    <col min="4" max="4" width="15.90625" customWidth="1"/>
  </cols>
  <sheetData>
    <row r="1" spans="1:23" x14ac:dyDescent="0.35">
      <c r="A1" t="s">
        <v>0</v>
      </c>
      <c r="B1" s="1" t="s">
        <v>1</v>
      </c>
      <c r="C1" s="1" t="s">
        <v>2</v>
      </c>
      <c r="D1" s="1" t="s">
        <v>3</v>
      </c>
      <c r="E1" s="15" t="s">
        <v>34</v>
      </c>
      <c r="F1" s="14" t="s">
        <v>47</v>
      </c>
      <c r="G1" s="15" t="s">
        <v>35</v>
      </c>
      <c r="H1" s="14" t="s">
        <v>48</v>
      </c>
      <c r="I1" s="15" t="s">
        <v>36</v>
      </c>
      <c r="J1" s="14" t="s">
        <v>49</v>
      </c>
      <c r="K1" s="15" t="s">
        <v>37</v>
      </c>
      <c r="L1" s="14" t="s">
        <v>50</v>
      </c>
      <c r="M1" s="15" t="s">
        <v>38</v>
      </c>
      <c r="N1" s="14" t="s">
        <v>51</v>
      </c>
      <c r="O1" s="15" t="s">
        <v>39</v>
      </c>
      <c r="P1" s="14" t="s">
        <v>52</v>
      </c>
      <c r="Q1" s="15" t="s">
        <v>40</v>
      </c>
      <c r="R1" s="14" t="s">
        <v>53</v>
      </c>
      <c r="T1" t="s">
        <v>54</v>
      </c>
      <c r="U1" t="s">
        <v>55</v>
      </c>
      <c r="V1" t="s">
        <v>56</v>
      </c>
      <c r="W1" t="s">
        <v>57</v>
      </c>
    </row>
    <row r="2" spans="1:23" x14ac:dyDescent="0.35">
      <c r="A2" t="s">
        <v>4</v>
      </c>
      <c r="B2" s="2">
        <v>30</v>
      </c>
      <c r="C2" s="2">
        <v>20</v>
      </c>
      <c r="D2" s="2">
        <v>15</v>
      </c>
      <c r="E2">
        <v>134.15693630965262</v>
      </c>
      <c r="F2">
        <v>5.7861989807452812</v>
      </c>
      <c r="G2">
        <v>295.66748221125511</v>
      </c>
      <c r="H2">
        <v>23.702053701923418</v>
      </c>
      <c r="I2">
        <v>702.56851456685195</v>
      </c>
      <c r="J2">
        <v>28.406029942442846</v>
      </c>
      <c r="K2">
        <v>1049.7659856775028</v>
      </c>
      <c r="L2">
        <v>51.287594676159372</v>
      </c>
      <c r="M2">
        <v>1314.0278164942415</v>
      </c>
      <c r="N2">
        <v>32.055633243142246</v>
      </c>
      <c r="O2">
        <v>1586.6921310205566</v>
      </c>
      <c r="P2">
        <v>20.634550168010865</v>
      </c>
      <c r="Q2">
        <v>1842.9158885435809</v>
      </c>
      <c r="R2">
        <v>14.43980604588098</v>
      </c>
      <c r="T2">
        <f>Q2+R2</f>
        <v>1857.3556945894618</v>
      </c>
      <c r="U2">
        <f>Q2-R2</f>
        <v>1828.4760824977</v>
      </c>
      <c r="V2" s="8">
        <f>MAX(T2:T37)</f>
        <v>3439.1722815833323</v>
      </c>
      <c r="W2" s="8">
        <f>MIN(U2:U37)</f>
        <v>1735.2238317169804</v>
      </c>
    </row>
    <row r="3" spans="1:23" x14ac:dyDescent="0.35">
      <c r="A3" t="s">
        <v>5</v>
      </c>
      <c r="B3" s="2">
        <v>30</v>
      </c>
      <c r="C3" s="2">
        <v>15</v>
      </c>
      <c r="D3" s="2">
        <v>10</v>
      </c>
      <c r="E3">
        <v>155.2184253239642</v>
      </c>
      <c r="F3">
        <v>28.834464277693723</v>
      </c>
      <c r="G3">
        <v>317.86060207284942</v>
      </c>
      <c r="H3">
        <v>30.063399474901754</v>
      </c>
      <c r="I3">
        <v>693.66280307128477</v>
      </c>
      <c r="J3">
        <v>52.885871944681696</v>
      </c>
      <c r="K3">
        <v>1070.3519958264608</v>
      </c>
      <c r="L3">
        <v>63.437072972812018</v>
      </c>
      <c r="M3">
        <v>1439.1469582880986</v>
      </c>
      <c r="N3">
        <v>75.806286072058469</v>
      </c>
      <c r="O3">
        <v>1832.7227377170466</v>
      </c>
      <c r="P3">
        <v>65.986278917063373</v>
      </c>
      <c r="Q3">
        <v>2082.5964452205849</v>
      </c>
      <c r="R3">
        <v>37.244852900494038</v>
      </c>
      <c r="T3">
        <f t="shared" ref="T3:T37" si="0">Q3+R3</f>
        <v>2119.841298121079</v>
      </c>
      <c r="U3">
        <f t="shared" ref="U3:U37" si="1">Q3-R3</f>
        <v>2045.3515923200907</v>
      </c>
    </row>
    <row r="4" spans="1:23" x14ac:dyDescent="0.35">
      <c r="A4" t="s">
        <v>6</v>
      </c>
      <c r="B4" s="2">
        <v>25</v>
      </c>
      <c r="C4" s="2">
        <v>20</v>
      </c>
      <c r="D4" s="2">
        <v>20</v>
      </c>
      <c r="E4">
        <v>129.38092075610854</v>
      </c>
      <c r="F4">
        <v>33.535800610646042</v>
      </c>
      <c r="G4">
        <v>285.57195666409194</v>
      </c>
      <c r="H4">
        <v>13.92755680553352</v>
      </c>
      <c r="I4">
        <v>707.17601710851545</v>
      </c>
      <c r="J4">
        <v>37.104915941502895</v>
      </c>
      <c r="K4">
        <v>1043.2101350453927</v>
      </c>
      <c r="L4">
        <v>75.726122621444262</v>
      </c>
      <c r="M4">
        <v>1309.5027388502185</v>
      </c>
      <c r="N4">
        <v>56.774416229664411</v>
      </c>
      <c r="O4">
        <v>1641.9107818783384</v>
      </c>
      <c r="P4">
        <v>80.963807393839872</v>
      </c>
      <c r="Q4">
        <v>1845.6820324903026</v>
      </c>
      <c r="R4">
        <v>81.293856016511512</v>
      </c>
      <c r="T4">
        <f t="shared" si="0"/>
        <v>1926.975888506814</v>
      </c>
      <c r="U4">
        <f t="shared" si="1"/>
        <v>1764.3881764737912</v>
      </c>
    </row>
    <row r="5" spans="1:23" x14ac:dyDescent="0.35">
      <c r="A5" t="s">
        <v>7</v>
      </c>
      <c r="B5" s="2">
        <v>25</v>
      </c>
      <c r="C5" s="2">
        <v>15</v>
      </c>
      <c r="D5" s="2">
        <v>15</v>
      </c>
      <c r="E5">
        <v>128.675603633538</v>
      </c>
      <c r="F5">
        <v>25.722861491774555</v>
      </c>
      <c r="G5">
        <v>256.00477386160094</v>
      </c>
      <c r="H5">
        <v>38.934115853754079</v>
      </c>
      <c r="I5">
        <v>683.70089043564269</v>
      </c>
      <c r="J5">
        <v>18.435835991804037</v>
      </c>
      <c r="K5">
        <v>1083.2862596503442</v>
      </c>
      <c r="L5">
        <v>21.830641954181562</v>
      </c>
      <c r="M5">
        <v>1472.3284605043798</v>
      </c>
      <c r="N5">
        <v>75.257717416580249</v>
      </c>
      <c r="O5">
        <v>1857.2891829494881</v>
      </c>
      <c r="P5">
        <v>111.18768055341461</v>
      </c>
      <c r="Q5">
        <v>2295.6827176731099</v>
      </c>
      <c r="R5">
        <v>145.35432523483874</v>
      </c>
      <c r="T5">
        <f t="shared" si="0"/>
        <v>2441.0370429079485</v>
      </c>
      <c r="U5">
        <f t="shared" si="1"/>
        <v>2150.3283924382713</v>
      </c>
    </row>
    <row r="6" spans="1:23" x14ac:dyDescent="0.35">
      <c r="A6" t="s">
        <v>8</v>
      </c>
      <c r="B6" s="2">
        <v>25</v>
      </c>
      <c r="C6" s="2">
        <v>10</v>
      </c>
      <c r="D6" s="2">
        <v>20</v>
      </c>
      <c r="E6">
        <v>82.248173016388478</v>
      </c>
      <c r="F6">
        <v>25.62398406769741</v>
      </c>
      <c r="G6">
        <v>273.8006796174119</v>
      </c>
      <c r="H6">
        <v>9.604100703399471</v>
      </c>
      <c r="I6">
        <v>656.75956914735139</v>
      </c>
      <c r="J6">
        <v>33.15865445608884</v>
      </c>
      <c r="K6">
        <v>1028.514334700646</v>
      </c>
      <c r="L6">
        <v>43.802584295035828</v>
      </c>
      <c r="M6">
        <v>1325.949298897847</v>
      </c>
      <c r="N6">
        <v>48.90061864216041</v>
      </c>
      <c r="O6">
        <v>1643.8520109680831</v>
      </c>
      <c r="P6">
        <v>75.730083141450407</v>
      </c>
      <c r="Q6">
        <v>1985.336765276757</v>
      </c>
      <c r="R6">
        <v>69.418693256406115</v>
      </c>
      <c r="T6">
        <f t="shared" si="0"/>
        <v>2054.7554585331632</v>
      </c>
      <c r="U6">
        <f t="shared" si="1"/>
        <v>1915.9180720203508</v>
      </c>
    </row>
    <row r="7" spans="1:23" x14ac:dyDescent="0.35">
      <c r="A7" t="s">
        <v>9</v>
      </c>
      <c r="B7" s="2">
        <v>25</v>
      </c>
      <c r="C7" s="2">
        <v>20</v>
      </c>
      <c r="D7" s="2">
        <v>10</v>
      </c>
      <c r="E7">
        <v>141.70722972507849</v>
      </c>
      <c r="F7">
        <v>42.824846756302229</v>
      </c>
      <c r="G7">
        <v>353.88293185708903</v>
      </c>
      <c r="H7">
        <v>91.383446408591567</v>
      </c>
      <c r="I7">
        <v>720.10994179782836</v>
      </c>
      <c r="J7">
        <v>92.956031793597774</v>
      </c>
      <c r="K7">
        <v>1060.1679966166175</v>
      </c>
      <c r="L7">
        <v>96.791223703708567</v>
      </c>
      <c r="M7">
        <v>1366.1314894323796</v>
      </c>
      <c r="N7">
        <v>87.437030974292895</v>
      </c>
      <c r="O7">
        <v>1646.8152296029832</v>
      </c>
      <c r="P7">
        <v>84.406040024426602</v>
      </c>
      <c r="Q7">
        <v>1986.8871000413665</v>
      </c>
      <c r="R7">
        <v>93.352227790774208</v>
      </c>
      <c r="T7">
        <f t="shared" si="0"/>
        <v>2080.2393278321406</v>
      </c>
      <c r="U7">
        <f t="shared" si="1"/>
        <v>1893.5348722505923</v>
      </c>
    </row>
    <row r="8" spans="1:23" x14ac:dyDescent="0.35">
      <c r="A8" t="s">
        <v>10</v>
      </c>
      <c r="B8" s="2">
        <v>20</v>
      </c>
      <c r="C8" s="2">
        <v>20</v>
      </c>
      <c r="D8" s="2">
        <v>15</v>
      </c>
      <c r="E8">
        <v>230.28789547447457</v>
      </c>
      <c r="F8">
        <v>104.916957450022</v>
      </c>
      <c r="G8">
        <v>438.37153586089039</v>
      </c>
      <c r="H8">
        <v>122.65848147774105</v>
      </c>
      <c r="I8">
        <v>809.36982178236201</v>
      </c>
      <c r="J8">
        <v>145.022803297954</v>
      </c>
      <c r="K8">
        <v>1175.9426940513561</v>
      </c>
      <c r="L8">
        <v>104.67259994718395</v>
      </c>
      <c r="M8">
        <v>1482.2398676029891</v>
      </c>
      <c r="N8">
        <v>53.031362846962374</v>
      </c>
      <c r="O8">
        <v>1778.393004041186</v>
      </c>
      <c r="P8">
        <v>20.770267644631897</v>
      </c>
      <c r="Q8">
        <v>2044.5419390129709</v>
      </c>
      <c r="R8">
        <v>22.031603212765848</v>
      </c>
      <c r="T8">
        <f t="shared" si="0"/>
        <v>2066.5735422257367</v>
      </c>
      <c r="U8">
        <f t="shared" si="1"/>
        <v>2022.510335800205</v>
      </c>
    </row>
    <row r="9" spans="1:23" x14ac:dyDescent="0.35">
      <c r="A9" t="s">
        <v>11</v>
      </c>
      <c r="B9" s="2">
        <v>30</v>
      </c>
      <c r="C9" s="2">
        <v>10</v>
      </c>
      <c r="D9" s="2">
        <v>15</v>
      </c>
      <c r="E9">
        <v>120.28284365014565</v>
      </c>
      <c r="F9">
        <v>25.830771736145945</v>
      </c>
      <c r="G9">
        <v>275.07384376753851</v>
      </c>
      <c r="H9">
        <v>32.427926102417871</v>
      </c>
      <c r="I9">
        <v>696.48791747458813</v>
      </c>
      <c r="J9">
        <v>25.28794570254076</v>
      </c>
      <c r="K9">
        <v>1073.9376584769275</v>
      </c>
      <c r="L9">
        <v>31.313312818990738</v>
      </c>
      <c r="M9">
        <v>1333.6037652298746</v>
      </c>
      <c r="N9">
        <v>31.404584353007785</v>
      </c>
      <c r="O9">
        <v>1619.8208791708735</v>
      </c>
      <c r="P9">
        <v>71.084193232802903</v>
      </c>
      <c r="Q9">
        <v>1913.1249203490643</v>
      </c>
      <c r="R9">
        <v>50.705570631047081</v>
      </c>
      <c r="T9">
        <f t="shared" si="0"/>
        <v>1963.8304909801113</v>
      </c>
      <c r="U9">
        <f t="shared" si="1"/>
        <v>1862.4193497180172</v>
      </c>
    </row>
    <row r="10" spans="1:23" x14ac:dyDescent="0.35">
      <c r="A10" t="s">
        <v>12</v>
      </c>
      <c r="B10" s="2">
        <v>20</v>
      </c>
      <c r="C10" s="2">
        <v>15</v>
      </c>
      <c r="D10" s="2">
        <v>10</v>
      </c>
      <c r="E10">
        <v>148.3096914442153</v>
      </c>
      <c r="F10">
        <v>19.378788376663099</v>
      </c>
      <c r="G10">
        <v>312.56107645023599</v>
      </c>
      <c r="H10">
        <v>18.008517434585286</v>
      </c>
      <c r="I10">
        <v>749.56345776884098</v>
      </c>
      <c r="J10">
        <v>36.196783426294246</v>
      </c>
      <c r="K10">
        <v>1126.6104407969563</v>
      </c>
      <c r="L10">
        <v>4.0526870831770339</v>
      </c>
      <c r="M10">
        <v>1389.9065975124131</v>
      </c>
      <c r="N10">
        <v>65.817599934917553</v>
      </c>
      <c r="O10">
        <v>1670.77197896603</v>
      </c>
      <c r="P10">
        <v>52.896949911928118</v>
      </c>
      <c r="Q10">
        <v>1965.4044397199698</v>
      </c>
      <c r="R10">
        <v>21.998987088333024</v>
      </c>
      <c r="T10">
        <f t="shared" si="0"/>
        <v>1987.4034268083028</v>
      </c>
      <c r="U10">
        <f t="shared" si="1"/>
        <v>1943.4054526316368</v>
      </c>
    </row>
    <row r="11" spans="1:23" x14ac:dyDescent="0.35">
      <c r="A11" t="s">
        <v>13</v>
      </c>
      <c r="B11" s="2">
        <v>25</v>
      </c>
      <c r="C11" s="2">
        <v>10</v>
      </c>
      <c r="D11" s="2">
        <v>10</v>
      </c>
      <c r="E11">
        <v>103.34216532884602</v>
      </c>
      <c r="F11">
        <v>38.525424204603063</v>
      </c>
      <c r="G11">
        <v>295.90536115165133</v>
      </c>
      <c r="H11">
        <v>40.17247257834525</v>
      </c>
      <c r="I11">
        <v>797.76148267791166</v>
      </c>
      <c r="J11">
        <v>72.641918486923615</v>
      </c>
      <c r="K11">
        <v>1222.6072286088163</v>
      </c>
      <c r="L11">
        <v>90.338091877061501</v>
      </c>
      <c r="M11">
        <v>1663.8220171400624</v>
      </c>
      <c r="N11">
        <v>67.91046864526534</v>
      </c>
      <c r="O11">
        <v>2149.9421888444358</v>
      </c>
      <c r="P11">
        <v>68.867610951139199</v>
      </c>
      <c r="Q11">
        <v>2527.3139375496403</v>
      </c>
      <c r="R11">
        <v>39.838858842690179</v>
      </c>
      <c r="T11">
        <f t="shared" si="0"/>
        <v>2567.1527963923304</v>
      </c>
      <c r="U11">
        <f t="shared" si="1"/>
        <v>2487.4750787069502</v>
      </c>
    </row>
    <row r="12" spans="1:23" x14ac:dyDescent="0.35">
      <c r="A12" t="s">
        <v>14</v>
      </c>
      <c r="B12" s="2">
        <v>20</v>
      </c>
      <c r="C12" s="2">
        <v>15</v>
      </c>
      <c r="D12" s="2">
        <v>20</v>
      </c>
      <c r="E12">
        <v>125.3695364380734</v>
      </c>
      <c r="F12">
        <v>16.374751000132122</v>
      </c>
      <c r="G12">
        <v>295.97780921406257</v>
      </c>
      <c r="H12">
        <v>9.7777140011023338</v>
      </c>
      <c r="I12">
        <v>667.34455161347557</v>
      </c>
      <c r="J12">
        <v>10.039816513556378</v>
      </c>
      <c r="K12">
        <v>1038.7916540307394</v>
      </c>
      <c r="L12">
        <v>20.628290529568488</v>
      </c>
      <c r="M12">
        <v>1352.9741960942113</v>
      </c>
      <c r="N12">
        <v>3.3073569246200218</v>
      </c>
      <c r="O12">
        <v>1668.5630736353603</v>
      </c>
      <c r="P12">
        <v>14.396952911514669</v>
      </c>
      <c r="Q12">
        <v>1966.1088230642242</v>
      </c>
      <c r="R12">
        <v>8.3123114845732093</v>
      </c>
      <c r="T12">
        <f t="shared" si="0"/>
        <v>1974.4211345487975</v>
      </c>
      <c r="U12">
        <f t="shared" si="1"/>
        <v>1957.796511579651</v>
      </c>
    </row>
    <row r="13" spans="1:23" x14ac:dyDescent="0.35">
      <c r="A13" t="s">
        <v>15</v>
      </c>
      <c r="B13" s="2">
        <v>30</v>
      </c>
      <c r="C13" s="2">
        <v>15</v>
      </c>
      <c r="D13" s="2">
        <v>20</v>
      </c>
      <c r="E13">
        <v>110.28277652891136</v>
      </c>
      <c r="F13">
        <v>15.99211286935439</v>
      </c>
      <c r="G13">
        <v>241.48138282013252</v>
      </c>
      <c r="H13">
        <v>21.621095647892595</v>
      </c>
      <c r="I13">
        <v>616.88885053237323</v>
      </c>
      <c r="J13">
        <v>53.889909417308722</v>
      </c>
      <c r="K13">
        <v>955.73109370665566</v>
      </c>
      <c r="L13">
        <v>56.683978752175648</v>
      </c>
      <c r="M13">
        <v>1288.9265110794638</v>
      </c>
      <c r="N13">
        <v>42.631360317952023</v>
      </c>
      <c r="O13">
        <v>1576.4642694997949</v>
      </c>
      <c r="P13">
        <v>35.252356472692817</v>
      </c>
      <c r="Q13">
        <v>1820.9491668089763</v>
      </c>
      <c r="R13">
        <v>85.725335091995888</v>
      </c>
      <c r="T13">
        <f t="shared" si="0"/>
        <v>1906.6745019009722</v>
      </c>
      <c r="U13" s="9">
        <f t="shared" si="1"/>
        <v>1735.2238317169804</v>
      </c>
    </row>
    <row r="14" spans="1:23" x14ac:dyDescent="0.35">
      <c r="A14" t="s">
        <v>16</v>
      </c>
      <c r="B14" s="2">
        <v>20</v>
      </c>
      <c r="C14" s="2">
        <v>10</v>
      </c>
      <c r="D14" s="2">
        <v>15</v>
      </c>
      <c r="E14">
        <v>131.58406604056546</v>
      </c>
      <c r="F14">
        <v>11.981488228526736</v>
      </c>
      <c r="G14">
        <v>304.98521992748232</v>
      </c>
      <c r="H14">
        <v>16.962946761009515</v>
      </c>
      <c r="I14">
        <v>813.46181497819316</v>
      </c>
      <c r="J14">
        <v>45.620497126507637</v>
      </c>
      <c r="K14">
        <v>1230.8917187948712</v>
      </c>
      <c r="L14">
        <v>74.559000555552188</v>
      </c>
      <c r="M14">
        <v>1628.028346267499</v>
      </c>
      <c r="N14">
        <v>88.020677808099649</v>
      </c>
      <c r="O14">
        <v>2039.5037694638474</v>
      </c>
      <c r="P14">
        <v>89.912392396966411</v>
      </c>
      <c r="Q14">
        <v>2279.7382173637438</v>
      </c>
      <c r="R14">
        <v>87.015396089844714</v>
      </c>
      <c r="T14">
        <f t="shared" si="0"/>
        <v>2366.7536134535885</v>
      </c>
      <c r="U14">
        <f t="shared" si="1"/>
        <v>2192.7228212738992</v>
      </c>
    </row>
    <row r="15" spans="1:23" x14ac:dyDescent="0.35">
      <c r="A15" t="s">
        <v>17</v>
      </c>
      <c r="B15" s="2">
        <v>25</v>
      </c>
      <c r="C15" s="2">
        <v>15</v>
      </c>
      <c r="D15" s="2">
        <v>15</v>
      </c>
      <c r="E15">
        <v>74.483813499945029</v>
      </c>
      <c r="F15">
        <v>11.236698476313279</v>
      </c>
      <c r="G15">
        <v>218.49834599070701</v>
      </c>
      <c r="H15">
        <v>17.833745839256444</v>
      </c>
      <c r="I15">
        <v>686.03914866777984</v>
      </c>
      <c r="J15">
        <v>26.927769905705318</v>
      </c>
      <c r="K15">
        <v>988.64187780356463</v>
      </c>
      <c r="L15">
        <v>9.9881742702133884</v>
      </c>
      <c r="M15">
        <v>1315.7262076232382</v>
      </c>
      <c r="N15">
        <v>40.620262273371672</v>
      </c>
      <c r="O15">
        <v>1645.2057486607271</v>
      </c>
      <c r="P15">
        <v>42.452858957350877</v>
      </c>
      <c r="Q15">
        <v>1882.9579521221331</v>
      </c>
      <c r="R15">
        <v>59.346384150733584</v>
      </c>
      <c r="T15">
        <f t="shared" si="0"/>
        <v>1942.3043362728667</v>
      </c>
      <c r="U15">
        <f t="shared" si="1"/>
        <v>1823.6115679713994</v>
      </c>
    </row>
    <row r="16" spans="1:23" x14ac:dyDescent="0.35">
      <c r="A16" t="s">
        <v>18</v>
      </c>
      <c r="B16" s="2">
        <v>25</v>
      </c>
      <c r="C16" s="2">
        <v>15</v>
      </c>
      <c r="D16" s="2">
        <v>15</v>
      </c>
      <c r="E16">
        <v>151.68530344491455</v>
      </c>
      <c r="F16">
        <v>23.5003906779605</v>
      </c>
      <c r="G16">
        <v>288.38716646317761</v>
      </c>
      <c r="H16">
        <v>14.118360969448002</v>
      </c>
      <c r="I16">
        <v>733.95808295225208</v>
      </c>
      <c r="J16">
        <v>80.04473450684111</v>
      </c>
      <c r="K16">
        <v>1130.3800910710388</v>
      </c>
      <c r="L16">
        <v>110.41746694964681</v>
      </c>
      <c r="M16">
        <v>1469.4911543461446</v>
      </c>
      <c r="N16">
        <v>45.043266765555607</v>
      </c>
      <c r="O16">
        <v>1845.5575047331279</v>
      </c>
      <c r="P16">
        <v>71.395631819384306</v>
      </c>
      <c r="Q16">
        <v>2023.4629109534023</v>
      </c>
      <c r="R16">
        <v>98.304874965274095</v>
      </c>
      <c r="T16">
        <f t="shared" si="0"/>
        <v>2121.7677859186765</v>
      </c>
      <c r="U16">
        <f t="shared" si="1"/>
        <v>1925.1580359881282</v>
      </c>
    </row>
    <row r="17" spans="1:21" x14ac:dyDescent="0.35">
      <c r="A17" s="3" t="s">
        <v>19</v>
      </c>
      <c r="B17" s="2">
        <v>21</v>
      </c>
      <c r="C17" s="4">
        <v>16.600000000000001</v>
      </c>
      <c r="D17" s="4">
        <v>17.3</v>
      </c>
      <c r="E17" s="6">
        <v>178.20818060763978</v>
      </c>
      <c r="F17">
        <v>8.2197016676127852</v>
      </c>
      <c r="G17" s="6">
        <v>418.73080772052481</v>
      </c>
      <c r="H17">
        <v>10.523186200345172</v>
      </c>
      <c r="I17" s="6">
        <v>933.84962327271626</v>
      </c>
      <c r="J17" s="13">
        <v>50.578278097514016</v>
      </c>
      <c r="K17" s="6">
        <v>1395.4619108343177</v>
      </c>
      <c r="L17" s="13">
        <v>61.224783474496405</v>
      </c>
      <c r="M17" s="6">
        <v>1854.1935510875076</v>
      </c>
      <c r="N17">
        <v>56.65004435367009</v>
      </c>
      <c r="O17" s="6">
        <v>2255.4789039318584</v>
      </c>
      <c r="P17">
        <v>42.77997767258335</v>
      </c>
      <c r="Q17" s="6">
        <v>2668.9226092268832</v>
      </c>
      <c r="R17">
        <v>21.658425504319215</v>
      </c>
      <c r="T17">
        <f t="shared" si="0"/>
        <v>2690.5810347312026</v>
      </c>
      <c r="U17">
        <f t="shared" si="1"/>
        <v>2647.2641837225638</v>
      </c>
    </row>
    <row r="18" spans="1:21" x14ac:dyDescent="0.35">
      <c r="A18" s="3" t="s">
        <v>20</v>
      </c>
      <c r="B18" s="4">
        <v>21.3</v>
      </c>
      <c r="C18" s="2">
        <v>20</v>
      </c>
      <c r="D18" s="4">
        <v>10.6</v>
      </c>
      <c r="E18">
        <v>185.99180025903954</v>
      </c>
      <c r="F18">
        <v>15.706052532368645</v>
      </c>
      <c r="G18">
        <v>399.43594901115921</v>
      </c>
      <c r="H18">
        <v>13.781983321990793</v>
      </c>
      <c r="I18">
        <v>886.65517609420567</v>
      </c>
      <c r="J18">
        <v>41.45992992071416</v>
      </c>
      <c r="K18">
        <v>1352.1616450222004</v>
      </c>
      <c r="L18">
        <v>0.88204859115558065</v>
      </c>
      <c r="M18">
        <v>1844.1960382180175</v>
      </c>
      <c r="N18">
        <v>35.767537572159767</v>
      </c>
      <c r="O18">
        <v>2195.3349993083852</v>
      </c>
      <c r="P18">
        <v>239.91735095795636</v>
      </c>
      <c r="Q18">
        <v>2584.3181040261829</v>
      </c>
      <c r="R18">
        <v>238.24408478386005</v>
      </c>
      <c r="T18">
        <f t="shared" si="0"/>
        <v>2822.5621888100432</v>
      </c>
      <c r="U18">
        <f t="shared" si="1"/>
        <v>2346.0740192423227</v>
      </c>
    </row>
    <row r="19" spans="1:21" x14ac:dyDescent="0.35">
      <c r="A19" s="3" t="s">
        <v>21</v>
      </c>
      <c r="B19" s="4">
        <v>22.7</v>
      </c>
      <c r="C19" s="4">
        <v>14.4</v>
      </c>
      <c r="D19" s="2">
        <v>16</v>
      </c>
      <c r="E19">
        <v>170.73339390465418</v>
      </c>
      <c r="F19">
        <v>6.2083479766217664</v>
      </c>
      <c r="G19">
        <v>433.41519262476021</v>
      </c>
      <c r="H19">
        <v>26.403737657098858</v>
      </c>
      <c r="I19">
        <v>854.4769211836898</v>
      </c>
      <c r="J19">
        <v>43.488285079060844</v>
      </c>
      <c r="K19">
        <v>1320.314250640768</v>
      </c>
      <c r="L19">
        <v>145.72581815669821</v>
      </c>
      <c r="M19">
        <v>1799.5979400905849</v>
      </c>
      <c r="N19">
        <v>201.87281255539668</v>
      </c>
      <c r="O19">
        <v>2280.6632962272133</v>
      </c>
      <c r="P19">
        <v>190.28847273097364</v>
      </c>
      <c r="Q19">
        <v>2705.3571303612052</v>
      </c>
      <c r="R19">
        <v>193.53854518964934</v>
      </c>
      <c r="T19">
        <f t="shared" si="0"/>
        <v>2898.8956755508548</v>
      </c>
      <c r="U19">
        <f t="shared" si="1"/>
        <v>2511.8185851715557</v>
      </c>
    </row>
    <row r="20" spans="1:21" x14ac:dyDescent="0.35">
      <c r="A20" s="3" t="s">
        <v>22</v>
      </c>
      <c r="B20" s="4">
        <v>23.5</v>
      </c>
      <c r="C20" s="4">
        <v>17.899999999999999</v>
      </c>
      <c r="D20" s="4">
        <v>18.100000000000001</v>
      </c>
      <c r="E20">
        <v>171.83335037719999</v>
      </c>
      <c r="F20">
        <v>17.608382057039918</v>
      </c>
      <c r="G20">
        <v>402.99849897150887</v>
      </c>
      <c r="H20">
        <v>10.843701509803958</v>
      </c>
      <c r="I20">
        <v>851.54420346177562</v>
      </c>
      <c r="J20">
        <v>81.867588906841704</v>
      </c>
      <c r="K20">
        <v>1310.4940691485417</v>
      </c>
      <c r="L20">
        <v>185.31084216738486</v>
      </c>
      <c r="M20">
        <v>1773.0249448412189</v>
      </c>
      <c r="N20">
        <v>239.20699214901597</v>
      </c>
      <c r="O20">
        <v>2208.1314050162505</v>
      </c>
      <c r="P20">
        <v>264.22229896708757</v>
      </c>
      <c r="Q20">
        <v>2643.8865042211705</v>
      </c>
      <c r="R20">
        <v>249.51014783951621</v>
      </c>
      <c r="T20">
        <f t="shared" si="0"/>
        <v>2893.3966520606868</v>
      </c>
      <c r="U20">
        <f t="shared" si="1"/>
        <v>2394.3763563816542</v>
      </c>
    </row>
    <row r="21" spans="1:21" x14ac:dyDescent="0.35">
      <c r="A21" s="3" t="s">
        <v>23</v>
      </c>
      <c r="B21" s="4">
        <v>24.3</v>
      </c>
      <c r="C21" s="4">
        <v>13.1</v>
      </c>
      <c r="D21" s="4">
        <v>11.9</v>
      </c>
      <c r="E21">
        <v>172.84921396690351</v>
      </c>
      <c r="F21">
        <v>37.752145666348206</v>
      </c>
      <c r="G21">
        <v>294.4281211120724</v>
      </c>
      <c r="H21">
        <v>5.1639905114986817</v>
      </c>
      <c r="I21">
        <v>660.09642349398507</v>
      </c>
      <c r="J21">
        <v>25.748827976879063</v>
      </c>
      <c r="K21">
        <v>983.66931495068036</v>
      </c>
      <c r="L21">
        <v>52.651015645846883</v>
      </c>
      <c r="M21">
        <v>1348.8722790709294</v>
      </c>
      <c r="N21">
        <v>36.021064486958295</v>
      </c>
      <c r="O21">
        <v>1678.0066287439495</v>
      </c>
      <c r="P21">
        <v>68.67282568732189</v>
      </c>
      <c r="Q21">
        <v>2034.6650367030652</v>
      </c>
      <c r="R21">
        <v>85.831498551752887</v>
      </c>
      <c r="T21">
        <f t="shared" si="0"/>
        <v>2120.4965352548179</v>
      </c>
      <c r="U21">
        <f t="shared" si="1"/>
        <v>1948.8335381513123</v>
      </c>
    </row>
    <row r="22" spans="1:21" x14ac:dyDescent="0.35">
      <c r="A22" s="3" t="s">
        <v>24</v>
      </c>
      <c r="B22" s="4">
        <v>25.5</v>
      </c>
      <c r="C22" s="4">
        <v>10.1</v>
      </c>
      <c r="D22" s="4">
        <v>14.8</v>
      </c>
      <c r="E22">
        <v>83.654909917253036</v>
      </c>
      <c r="F22">
        <v>5.8972826853060063</v>
      </c>
      <c r="G22">
        <v>432.59691877708968</v>
      </c>
      <c r="H22">
        <v>16.209623333231214</v>
      </c>
      <c r="I22">
        <v>842.115078104075</v>
      </c>
      <c r="J22">
        <v>24.113357737325035</v>
      </c>
      <c r="K22">
        <v>1269.4876706526707</v>
      </c>
      <c r="L22">
        <v>41.991006010030866</v>
      </c>
      <c r="M22">
        <v>1736.2001161911921</v>
      </c>
      <c r="N22">
        <v>318.97227584764329</v>
      </c>
      <c r="O22">
        <v>2217.6335303307237</v>
      </c>
      <c r="P22">
        <v>56.219817171717395</v>
      </c>
      <c r="Q22">
        <v>2550.2516518600128</v>
      </c>
      <c r="R22">
        <v>74.55708619626273</v>
      </c>
      <c r="T22">
        <f t="shared" si="0"/>
        <v>2624.8087380562756</v>
      </c>
      <c r="U22">
        <f t="shared" si="1"/>
        <v>2475.6945656637499</v>
      </c>
    </row>
    <row r="23" spans="1:21" x14ac:dyDescent="0.35">
      <c r="A23" s="3" t="s">
        <v>25</v>
      </c>
      <c r="B23" s="4">
        <v>26.6</v>
      </c>
      <c r="C23" s="4">
        <v>11.6</v>
      </c>
      <c r="D23" s="4">
        <v>16.8</v>
      </c>
      <c r="E23">
        <v>85.723217658300584</v>
      </c>
      <c r="F23">
        <v>10.460476643188821</v>
      </c>
      <c r="G23">
        <v>250.62832140465844</v>
      </c>
      <c r="H23">
        <v>41.103745793252791</v>
      </c>
      <c r="I23">
        <v>592.04640423113472</v>
      </c>
      <c r="J23">
        <v>43.980661776491267</v>
      </c>
      <c r="K23">
        <v>942.82468908134422</v>
      </c>
      <c r="L23">
        <v>40.077576738924712</v>
      </c>
      <c r="M23">
        <v>1264.4485840432001</v>
      </c>
      <c r="N23">
        <v>47.388697200182726</v>
      </c>
      <c r="O23">
        <v>1630.3413683707399</v>
      </c>
      <c r="P23">
        <v>53.6643404365972</v>
      </c>
      <c r="Q23">
        <v>2005.4015880648101</v>
      </c>
      <c r="R23">
        <v>114.31473065112142</v>
      </c>
      <c r="T23">
        <f t="shared" si="0"/>
        <v>2119.7163187159317</v>
      </c>
      <c r="U23">
        <f t="shared" si="1"/>
        <v>1891.0868574136887</v>
      </c>
    </row>
    <row r="24" spans="1:21" x14ac:dyDescent="0.35">
      <c r="A24" s="3" t="s">
        <v>26</v>
      </c>
      <c r="B24" s="4">
        <v>27.2</v>
      </c>
      <c r="C24" s="4">
        <v>18.7</v>
      </c>
      <c r="D24" s="4">
        <v>13.1</v>
      </c>
      <c r="E24">
        <v>73.30105037357518</v>
      </c>
      <c r="F24">
        <v>15.359904821918084</v>
      </c>
      <c r="G24">
        <v>243.353927415177</v>
      </c>
      <c r="H24">
        <v>16.470761474172082</v>
      </c>
      <c r="I24">
        <v>646.03978281409206</v>
      </c>
      <c r="J24">
        <v>42.550158300247006</v>
      </c>
      <c r="K24">
        <v>1037.2357720510822</v>
      </c>
      <c r="L24">
        <v>49.912442473142605</v>
      </c>
      <c r="M24">
        <v>1428.4501021907522</v>
      </c>
      <c r="N24">
        <v>89.08201148939412</v>
      </c>
      <c r="O24">
        <v>1824.2375628328646</v>
      </c>
      <c r="P24">
        <v>97.939235896503703</v>
      </c>
      <c r="Q24">
        <v>2181.3841269950904</v>
      </c>
      <c r="R24">
        <v>74.275258432163341</v>
      </c>
      <c r="T24">
        <f t="shared" si="0"/>
        <v>2255.6593854272537</v>
      </c>
      <c r="U24">
        <f t="shared" si="1"/>
        <v>2107.108868562927</v>
      </c>
    </row>
    <row r="25" spans="1:21" x14ac:dyDescent="0.35">
      <c r="A25" s="3" t="s">
        <v>27</v>
      </c>
      <c r="B25" s="4">
        <v>28.3</v>
      </c>
      <c r="C25" s="4">
        <v>15.5</v>
      </c>
      <c r="D25" s="4">
        <v>12.7</v>
      </c>
      <c r="E25">
        <v>87.597546053456497</v>
      </c>
      <c r="F25">
        <v>18.88918435871998</v>
      </c>
      <c r="G25">
        <v>254.07401340984515</v>
      </c>
      <c r="H25">
        <v>30.223027549800108</v>
      </c>
      <c r="I25">
        <v>604.46494929284756</v>
      </c>
      <c r="J25">
        <v>57.647837367929611</v>
      </c>
      <c r="K25">
        <v>985.04507101268337</v>
      </c>
      <c r="L25">
        <v>77.484396242771425</v>
      </c>
      <c r="M25">
        <v>1355.4320264904284</v>
      </c>
      <c r="N25">
        <v>99.204094083808542</v>
      </c>
      <c r="O25">
        <v>1718.8367990922068</v>
      </c>
      <c r="P25">
        <v>131.45840787697256</v>
      </c>
      <c r="Q25">
        <v>2074.6665262686915</v>
      </c>
      <c r="R25">
        <v>187.35593321036515</v>
      </c>
      <c r="T25">
        <f t="shared" si="0"/>
        <v>2262.0224594790566</v>
      </c>
      <c r="U25">
        <f t="shared" si="1"/>
        <v>1887.3105930583265</v>
      </c>
    </row>
    <row r="26" spans="1:21" x14ac:dyDescent="0.35">
      <c r="A26" s="5" t="s">
        <v>28</v>
      </c>
      <c r="B26" s="4">
        <v>29.2</v>
      </c>
      <c r="C26" s="4">
        <v>12.9</v>
      </c>
      <c r="D26" s="4">
        <v>19.600000000000001</v>
      </c>
      <c r="E26">
        <v>89.090892422813667</v>
      </c>
      <c r="F26">
        <v>29.113612028314684</v>
      </c>
      <c r="G26">
        <v>228.43682062643347</v>
      </c>
      <c r="H26">
        <v>33.717563116023221</v>
      </c>
      <c r="I26">
        <v>586.09048965770251</v>
      </c>
      <c r="J26">
        <v>18.522253642509522</v>
      </c>
      <c r="K26">
        <v>949.30785908980465</v>
      </c>
      <c r="L26">
        <v>51.406250435934069</v>
      </c>
      <c r="M26">
        <v>1370.3229658248624</v>
      </c>
      <c r="N26">
        <v>146.22465401405148</v>
      </c>
      <c r="O26">
        <v>1829.4560857074</v>
      </c>
      <c r="P26">
        <v>155.62483100965491</v>
      </c>
      <c r="Q26">
        <v>2158.75607469123</v>
      </c>
      <c r="R26">
        <v>170.02015748623188</v>
      </c>
      <c r="T26">
        <f t="shared" si="0"/>
        <v>2328.7762321774617</v>
      </c>
      <c r="U26">
        <f t="shared" si="1"/>
        <v>1988.735917204998</v>
      </c>
    </row>
    <row r="27" spans="1:21" x14ac:dyDescent="0.35">
      <c r="A27" s="5" t="s">
        <v>29</v>
      </c>
      <c r="B27" s="4">
        <v>20</v>
      </c>
      <c r="C27" s="4">
        <v>19.989999999999998</v>
      </c>
      <c r="D27" s="4">
        <v>19.989999999999998</v>
      </c>
      <c r="E27">
        <v>150.76568313583357</v>
      </c>
      <c r="F27">
        <v>22.511541639215373</v>
      </c>
      <c r="G27">
        <v>374.37997643150288</v>
      </c>
      <c r="H27">
        <v>59.169587199893719</v>
      </c>
      <c r="I27">
        <v>765.39168344296672</v>
      </c>
      <c r="J27">
        <v>79.983778339688556</v>
      </c>
      <c r="K27">
        <v>1146.6354849064901</v>
      </c>
      <c r="L27">
        <v>67.315843385567149</v>
      </c>
      <c r="M27">
        <v>1685.9692686583694</v>
      </c>
      <c r="N27">
        <v>41.906484133658708</v>
      </c>
      <c r="O27">
        <v>2205.533444883391</v>
      </c>
      <c r="P27">
        <v>378.96661349060139</v>
      </c>
      <c r="Q27">
        <v>2963.2451806603653</v>
      </c>
      <c r="R27">
        <v>283.3964309682313</v>
      </c>
      <c r="T27">
        <f t="shared" si="0"/>
        <v>3246.6416116285968</v>
      </c>
      <c r="U27">
        <f t="shared" si="1"/>
        <v>2679.8487496921339</v>
      </c>
    </row>
    <row r="28" spans="1:21" x14ac:dyDescent="0.35">
      <c r="A28" s="5" t="s">
        <v>30</v>
      </c>
      <c r="B28" s="4">
        <v>29.78</v>
      </c>
      <c r="C28" s="4">
        <v>19.95</v>
      </c>
      <c r="D28" s="4">
        <v>19.93</v>
      </c>
      <c r="E28">
        <v>137.19334165215074</v>
      </c>
      <c r="F28">
        <v>13.669140738403444</v>
      </c>
      <c r="G28">
        <v>314.6611409242588</v>
      </c>
      <c r="H28">
        <v>27.070256966287822</v>
      </c>
      <c r="I28">
        <v>691.06105348001086</v>
      </c>
      <c r="J28">
        <v>60.138473416352333</v>
      </c>
      <c r="K28">
        <v>1008.3561681748452</v>
      </c>
      <c r="L28">
        <v>73.569358395101517</v>
      </c>
      <c r="M28">
        <v>1385.0868101763499</v>
      </c>
      <c r="N28">
        <v>155.35709927604967</v>
      </c>
      <c r="O28">
        <v>1649.7880839930613</v>
      </c>
      <c r="P28">
        <v>116.57696603461089</v>
      </c>
      <c r="Q28">
        <v>1968.5082757561465</v>
      </c>
      <c r="R28">
        <v>151.23869655010586</v>
      </c>
      <c r="T28">
        <f t="shared" si="0"/>
        <v>2119.7469723062522</v>
      </c>
      <c r="U28">
        <f t="shared" si="1"/>
        <v>1817.2695792060406</v>
      </c>
    </row>
    <row r="29" spans="1:21" x14ac:dyDescent="0.35">
      <c r="A29" s="5" t="s">
        <v>31</v>
      </c>
      <c r="B29" s="4">
        <v>20</v>
      </c>
      <c r="C29" s="4">
        <v>13.65</v>
      </c>
      <c r="D29" s="4">
        <v>19.97</v>
      </c>
      <c r="E29">
        <v>165.19129572494015</v>
      </c>
      <c r="F29">
        <v>21.431597174830955</v>
      </c>
      <c r="G29">
        <v>404.07387446842512</v>
      </c>
      <c r="H29">
        <v>64.008891922470269</v>
      </c>
      <c r="I29">
        <v>1196.7346454580086</v>
      </c>
      <c r="J29">
        <v>115.9443720259812</v>
      </c>
      <c r="K29">
        <v>1673.3384210449021</v>
      </c>
      <c r="L29">
        <v>172.58171583807106</v>
      </c>
      <c r="M29">
        <v>2178.8704510526095</v>
      </c>
      <c r="N29">
        <v>128.29555186752947</v>
      </c>
      <c r="O29">
        <v>2670.3290571238595</v>
      </c>
      <c r="P29">
        <v>67.014983228623677</v>
      </c>
      <c r="Q29">
        <v>2983.0961874122595</v>
      </c>
      <c r="R29">
        <v>290.22797205215511</v>
      </c>
      <c r="T29">
        <f t="shared" si="0"/>
        <v>3273.3241594644146</v>
      </c>
      <c r="U29">
        <f t="shared" si="1"/>
        <v>2692.8682153601044</v>
      </c>
    </row>
    <row r="30" spans="1:21" x14ac:dyDescent="0.35">
      <c r="A30" s="5" t="s">
        <v>32</v>
      </c>
      <c r="B30" s="4">
        <v>20</v>
      </c>
      <c r="C30" s="4">
        <v>11.5</v>
      </c>
      <c r="D30" s="4">
        <v>19.98</v>
      </c>
      <c r="E30">
        <v>168.79513087694622</v>
      </c>
      <c r="F30">
        <v>21.417051362630701</v>
      </c>
      <c r="G30">
        <v>374.09854224778405</v>
      </c>
      <c r="H30">
        <v>52.316969443176184</v>
      </c>
      <c r="I30">
        <v>1059.5929058623281</v>
      </c>
      <c r="J30">
        <v>310.7752379649134</v>
      </c>
      <c r="K30">
        <v>1514.6653576358433</v>
      </c>
      <c r="L30">
        <v>275.53340453864797</v>
      </c>
      <c r="M30">
        <v>2161.9626837644751</v>
      </c>
      <c r="N30">
        <v>200.20890427109944</v>
      </c>
      <c r="O30">
        <v>2595.5352248453037</v>
      </c>
      <c r="P30">
        <v>186.69589139438801</v>
      </c>
      <c r="Q30">
        <v>3008.198194823261</v>
      </c>
      <c r="R30">
        <v>157.69126971458809</v>
      </c>
      <c r="T30">
        <f t="shared" si="0"/>
        <v>3165.8894645378491</v>
      </c>
      <c r="U30">
        <f t="shared" si="1"/>
        <v>2850.5069251086729</v>
      </c>
    </row>
    <row r="31" spans="1:21" x14ac:dyDescent="0.35">
      <c r="A31" s="5" t="s">
        <v>33</v>
      </c>
      <c r="B31" s="4">
        <v>28.44</v>
      </c>
      <c r="C31" s="4">
        <v>19.95</v>
      </c>
      <c r="D31" s="4">
        <v>10.7</v>
      </c>
      <c r="E31">
        <v>68.88528518496193</v>
      </c>
      <c r="F31">
        <v>25.707944537071597</v>
      </c>
      <c r="G31">
        <v>283.72920056163275</v>
      </c>
      <c r="H31">
        <v>61.963278379142146</v>
      </c>
      <c r="I31">
        <v>623.76413123349482</v>
      </c>
      <c r="J31">
        <v>19.987895657328792</v>
      </c>
      <c r="K31">
        <v>951.72842962794766</v>
      </c>
      <c r="L31">
        <v>28.656061905662877</v>
      </c>
      <c r="M31">
        <v>1302.62401793345</v>
      </c>
      <c r="N31">
        <v>45.896237266036465</v>
      </c>
      <c r="O31">
        <v>1606.1446102942559</v>
      </c>
      <c r="P31">
        <v>68.243364924122631</v>
      </c>
      <c r="Q31">
        <v>1962.31756730292</v>
      </c>
      <c r="R31">
        <v>135.77968526149223</v>
      </c>
      <c r="T31">
        <f t="shared" si="0"/>
        <v>2098.0972525644124</v>
      </c>
      <c r="U31">
        <f t="shared" si="1"/>
        <v>1826.5378820414278</v>
      </c>
    </row>
    <row r="32" spans="1:21" x14ac:dyDescent="0.35">
      <c r="A32" s="7" t="s">
        <v>41</v>
      </c>
      <c r="B32" s="4">
        <v>20</v>
      </c>
      <c r="C32" s="4">
        <v>10.1</v>
      </c>
      <c r="D32" s="4">
        <v>19.989999999999998</v>
      </c>
      <c r="E32">
        <v>202.32970756963002</v>
      </c>
      <c r="F32">
        <v>33.268293660194935</v>
      </c>
      <c r="G32">
        <v>464.5757791687638</v>
      </c>
      <c r="H32">
        <v>35.495543310250184</v>
      </c>
      <c r="I32">
        <v>1193.3331037644784</v>
      </c>
      <c r="J32">
        <v>299.40204928108636</v>
      </c>
      <c r="K32">
        <v>1674.2430183382928</v>
      </c>
      <c r="L32">
        <v>222.00377394854274</v>
      </c>
      <c r="M32">
        <v>2277.6582310310619</v>
      </c>
      <c r="N32">
        <v>178.2252296131708</v>
      </c>
      <c r="O32">
        <v>2689.3351124118763</v>
      </c>
      <c r="P32">
        <v>171.1633226808448</v>
      </c>
      <c r="Q32">
        <v>3239.8487108096142</v>
      </c>
      <c r="R32">
        <v>170.93858066184706</v>
      </c>
      <c r="T32">
        <f t="shared" si="0"/>
        <v>3410.7872914714612</v>
      </c>
      <c r="U32">
        <f t="shared" si="1"/>
        <v>3068.9101301477672</v>
      </c>
    </row>
    <row r="33" spans="1:25" x14ac:dyDescent="0.35">
      <c r="A33" s="7" t="s">
        <v>42</v>
      </c>
      <c r="B33" s="4">
        <v>20</v>
      </c>
      <c r="C33" s="4">
        <v>10</v>
      </c>
      <c r="D33" s="4">
        <v>15.43</v>
      </c>
      <c r="E33">
        <v>181.73856363249791</v>
      </c>
      <c r="F33">
        <v>46.958273756137494</v>
      </c>
      <c r="G33">
        <v>433.04547686326089</v>
      </c>
      <c r="H33">
        <v>66.813998775198783</v>
      </c>
      <c r="I33">
        <v>846.69029014771752</v>
      </c>
      <c r="J33">
        <v>131.86486119105874</v>
      </c>
      <c r="K33">
        <v>1441.0552368710644</v>
      </c>
      <c r="L33">
        <v>284.69185846219847</v>
      </c>
      <c r="M33">
        <v>2102.4939331401138</v>
      </c>
      <c r="N33">
        <v>376.85376272365488</v>
      </c>
      <c r="O33">
        <v>2573.9099269324497</v>
      </c>
      <c r="P33">
        <v>396.73101621272508</v>
      </c>
      <c r="Q33">
        <v>3058.4934105145921</v>
      </c>
      <c r="R33">
        <v>318.62027317942795</v>
      </c>
      <c r="T33">
        <f t="shared" si="0"/>
        <v>3377.11368369402</v>
      </c>
      <c r="U33">
        <f t="shared" si="1"/>
        <v>2739.8731373351643</v>
      </c>
    </row>
    <row r="34" spans="1:25" x14ac:dyDescent="0.35">
      <c r="A34" s="7" t="s">
        <v>43</v>
      </c>
      <c r="B34" s="4">
        <v>20</v>
      </c>
      <c r="C34" s="4">
        <v>10.08</v>
      </c>
      <c r="D34" s="4">
        <v>19.97</v>
      </c>
      <c r="E34">
        <v>187.75208138733211</v>
      </c>
      <c r="F34">
        <v>36.683550560961365</v>
      </c>
      <c r="G34">
        <v>466.78682562970454</v>
      </c>
      <c r="H34">
        <v>27.040898273827601</v>
      </c>
      <c r="I34">
        <v>1234.1807989918029</v>
      </c>
      <c r="J34">
        <v>226.4581695570651</v>
      </c>
      <c r="K34">
        <v>1719.7616757383635</v>
      </c>
      <c r="L34">
        <v>176.39774379846233</v>
      </c>
      <c r="M34">
        <v>2254.8485892388276</v>
      </c>
      <c r="N34">
        <v>110.39523756836513</v>
      </c>
      <c r="O34">
        <v>2801.7449591466334</v>
      </c>
      <c r="P34">
        <v>79.022035674954211</v>
      </c>
      <c r="Q34">
        <v>3234.4014361046247</v>
      </c>
      <c r="R34">
        <v>204.77084547870774</v>
      </c>
      <c r="T34" s="9">
        <f t="shared" si="0"/>
        <v>3439.1722815833323</v>
      </c>
      <c r="U34">
        <f t="shared" si="1"/>
        <v>3029.6305906259172</v>
      </c>
    </row>
    <row r="35" spans="1:25" s="8" customFormat="1" x14ac:dyDescent="0.35">
      <c r="A35" s="11" t="s">
        <v>44</v>
      </c>
      <c r="B35" s="12">
        <v>20</v>
      </c>
      <c r="C35" s="12">
        <v>10.11</v>
      </c>
      <c r="D35" s="12">
        <v>19.97</v>
      </c>
      <c r="E35" s="11">
        <v>211.54866764945791</v>
      </c>
      <c r="F35">
        <v>36.764655463417711</v>
      </c>
      <c r="G35" s="11">
        <v>474.77114734029874</v>
      </c>
      <c r="H35">
        <v>76.251972865095183</v>
      </c>
      <c r="I35" s="11">
        <v>1052.4906148149266</v>
      </c>
      <c r="J35">
        <v>155.85252283035865</v>
      </c>
      <c r="K35" s="11">
        <v>1482.4754734745536</v>
      </c>
      <c r="L35" s="8">
        <v>188.68684436892198</v>
      </c>
      <c r="M35" s="11">
        <v>2066.7666808380959</v>
      </c>
      <c r="N35">
        <v>179.31310681632272</v>
      </c>
      <c r="O35" s="11">
        <v>2606.0242322624358</v>
      </c>
      <c r="P35">
        <v>215.62376117578344</v>
      </c>
      <c r="Q35" s="10">
        <v>3305.1355806718707</v>
      </c>
      <c r="R35">
        <v>116.6778098235575</v>
      </c>
      <c r="T35">
        <f t="shared" si="0"/>
        <v>3421.8133904954284</v>
      </c>
      <c r="U35">
        <f t="shared" si="1"/>
        <v>3188.457770848313</v>
      </c>
      <c r="V35"/>
      <c r="X35"/>
      <c r="Y35"/>
    </row>
    <row r="36" spans="1:25" x14ac:dyDescent="0.35">
      <c r="A36" s="7" t="s">
        <v>45</v>
      </c>
      <c r="B36" s="4">
        <v>20</v>
      </c>
      <c r="C36" s="4">
        <v>10.15</v>
      </c>
      <c r="D36" s="4">
        <v>19.98</v>
      </c>
      <c r="E36">
        <v>194.94732666757088</v>
      </c>
      <c r="F36">
        <v>29.601653105368261</v>
      </c>
      <c r="G36">
        <v>512.46169739113122</v>
      </c>
      <c r="H36">
        <v>57.014540604683667</v>
      </c>
      <c r="I36">
        <v>1136.3666938877832</v>
      </c>
      <c r="J36">
        <v>129.95419440784733</v>
      </c>
      <c r="K36">
        <v>1513.7597991937823</v>
      </c>
      <c r="L36">
        <v>205.51015522520896</v>
      </c>
      <c r="M36">
        <v>2089.5991154406561</v>
      </c>
      <c r="N36">
        <v>164.51761549590813</v>
      </c>
      <c r="O36">
        <v>2562.0669623483896</v>
      </c>
      <c r="P36">
        <v>224.0646489930767</v>
      </c>
      <c r="Q36">
        <v>3092.0641254534062</v>
      </c>
      <c r="R36">
        <v>231.21035989365663</v>
      </c>
      <c r="T36">
        <f t="shared" si="0"/>
        <v>3323.2744853470626</v>
      </c>
      <c r="U36">
        <f t="shared" si="1"/>
        <v>2860.8537655597497</v>
      </c>
    </row>
    <row r="37" spans="1:25" x14ac:dyDescent="0.35">
      <c r="A37" s="7" t="s">
        <v>46</v>
      </c>
      <c r="B37" s="4">
        <v>20</v>
      </c>
      <c r="C37" s="4">
        <v>10.07</v>
      </c>
      <c r="D37" s="4">
        <v>12.53</v>
      </c>
      <c r="E37">
        <v>142.53719695877999</v>
      </c>
      <c r="F37">
        <v>22.054319760776142</v>
      </c>
      <c r="G37">
        <v>391.38180281936025</v>
      </c>
      <c r="H37">
        <v>36.811643775233605</v>
      </c>
      <c r="I37">
        <v>935.78509807829289</v>
      </c>
      <c r="J37">
        <v>140.97475030349307</v>
      </c>
      <c r="K37">
        <v>1261.1204433825148</v>
      </c>
      <c r="L37">
        <v>119.36063775559991</v>
      </c>
      <c r="M37">
        <v>1739.2963202189189</v>
      </c>
      <c r="N37">
        <v>84.448083086167301</v>
      </c>
      <c r="O37">
        <v>2401.110692476092</v>
      </c>
      <c r="P37">
        <v>201.06076656063772</v>
      </c>
      <c r="Q37">
        <v>2871.5621428769723</v>
      </c>
      <c r="R37">
        <v>221.73723949145926</v>
      </c>
      <c r="T37">
        <f t="shared" si="0"/>
        <v>3093.2993823684315</v>
      </c>
      <c r="U37">
        <f t="shared" si="1"/>
        <v>2649.8249033855132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activeCell="G38" sqref="G38"/>
    </sheetView>
  </sheetViews>
  <sheetFormatPr defaultRowHeight="14.5" x14ac:dyDescent="0.35"/>
  <sheetData>
    <row r="1" spans="1:4" x14ac:dyDescent="0.35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>
        <v>30</v>
      </c>
      <c r="C2" s="2">
        <v>20</v>
      </c>
      <c r="D2" s="2">
        <v>15</v>
      </c>
    </row>
    <row r="3" spans="1:4" x14ac:dyDescent="0.35">
      <c r="A3" t="s">
        <v>5</v>
      </c>
      <c r="B3" s="2">
        <v>30</v>
      </c>
      <c r="C3" s="2">
        <v>15</v>
      </c>
      <c r="D3" s="2">
        <v>10</v>
      </c>
    </row>
    <row r="4" spans="1:4" x14ac:dyDescent="0.35">
      <c r="A4" t="s">
        <v>6</v>
      </c>
      <c r="B4" s="2">
        <v>25</v>
      </c>
      <c r="C4" s="2">
        <v>20</v>
      </c>
      <c r="D4" s="2">
        <v>20</v>
      </c>
    </row>
    <row r="5" spans="1:4" x14ac:dyDescent="0.35">
      <c r="A5" t="s">
        <v>7</v>
      </c>
      <c r="B5" s="2">
        <v>25</v>
      </c>
      <c r="C5" s="2">
        <v>15</v>
      </c>
      <c r="D5" s="2">
        <v>15</v>
      </c>
    </row>
    <row r="6" spans="1:4" x14ac:dyDescent="0.35">
      <c r="A6" t="s">
        <v>8</v>
      </c>
      <c r="B6" s="2">
        <v>25</v>
      </c>
      <c r="C6" s="2">
        <v>10</v>
      </c>
      <c r="D6" s="2">
        <v>20</v>
      </c>
    </row>
    <row r="7" spans="1:4" x14ac:dyDescent="0.35">
      <c r="A7" t="s">
        <v>9</v>
      </c>
      <c r="B7" s="2">
        <v>25</v>
      </c>
      <c r="C7" s="2">
        <v>20</v>
      </c>
      <c r="D7" s="2">
        <v>10</v>
      </c>
    </row>
    <row r="8" spans="1:4" x14ac:dyDescent="0.35">
      <c r="A8" t="s">
        <v>10</v>
      </c>
      <c r="B8" s="2">
        <v>20</v>
      </c>
      <c r="C8" s="2">
        <v>20</v>
      </c>
      <c r="D8" s="2">
        <v>15</v>
      </c>
    </row>
    <row r="9" spans="1:4" x14ac:dyDescent="0.35">
      <c r="A9" t="s">
        <v>11</v>
      </c>
      <c r="B9" s="2">
        <v>30</v>
      </c>
      <c r="C9" s="2">
        <v>10</v>
      </c>
      <c r="D9" s="2">
        <v>15</v>
      </c>
    </row>
    <row r="10" spans="1:4" x14ac:dyDescent="0.35">
      <c r="A10" t="s">
        <v>12</v>
      </c>
      <c r="B10" s="2">
        <v>20</v>
      </c>
      <c r="C10" s="2">
        <v>15</v>
      </c>
      <c r="D10" s="2">
        <v>10</v>
      </c>
    </row>
    <row r="11" spans="1:4" x14ac:dyDescent="0.35">
      <c r="A11" t="s">
        <v>13</v>
      </c>
      <c r="B11" s="2">
        <v>25</v>
      </c>
      <c r="C11" s="2">
        <v>10</v>
      </c>
      <c r="D11" s="2">
        <v>10</v>
      </c>
    </row>
    <row r="12" spans="1:4" x14ac:dyDescent="0.35">
      <c r="A12" t="s">
        <v>14</v>
      </c>
      <c r="B12" s="2">
        <v>20</v>
      </c>
      <c r="C12" s="2">
        <v>15</v>
      </c>
      <c r="D12" s="2">
        <v>20</v>
      </c>
    </row>
    <row r="13" spans="1:4" x14ac:dyDescent="0.35">
      <c r="A13" t="s">
        <v>15</v>
      </c>
      <c r="B13" s="2">
        <v>30</v>
      </c>
      <c r="C13" s="2">
        <v>15</v>
      </c>
      <c r="D13" s="2">
        <v>20</v>
      </c>
    </row>
    <row r="14" spans="1:4" x14ac:dyDescent="0.35">
      <c r="A14" t="s">
        <v>16</v>
      </c>
      <c r="B14" s="2">
        <v>20</v>
      </c>
      <c r="C14" s="2">
        <v>10</v>
      </c>
      <c r="D14" s="2">
        <v>15</v>
      </c>
    </row>
    <row r="15" spans="1:4" x14ac:dyDescent="0.35">
      <c r="A15" t="s">
        <v>17</v>
      </c>
      <c r="B15" s="2">
        <v>25</v>
      </c>
      <c r="C15" s="2">
        <v>15</v>
      </c>
      <c r="D15" s="2">
        <v>15</v>
      </c>
    </row>
    <row r="16" spans="1:4" x14ac:dyDescent="0.35">
      <c r="A16" t="s">
        <v>18</v>
      </c>
      <c r="B16" s="2">
        <v>25</v>
      </c>
      <c r="C16" s="2">
        <v>15</v>
      </c>
      <c r="D16" s="2">
        <v>15</v>
      </c>
    </row>
    <row r="17" spans="1:4" x14ac:dyDescent="0.35">
      <c r="A17" s="3" t="s">
        <v>19</v>
      </c>
      <c r="B17" s="2">
        <v>21</v>
      </c>
      <c r="C17" s="4">
        <v>16.600000000000001</v>
      </c>
      <c r="D17" s="4">
        <v>17.3</v>
      </c>
    </row>
    <row r="18" spans="1:4" x14ac:dyDescent="0.35">
      <c r="A18" s="3" t="s">
        <v>20</v>
      </c>
      <c r="B18" s="4">
        <v>21.3</v>
      </c>
      <c r="C18" s="2">
        <v>20</v>
      </c>
      <c r="D18" s="4">
        <v>10.6</v>
      </c>
    </row>
    <row r="19" spans="1:4" x14ac:dyDescent="0.35">
      <c r="A19" s="3" t="s">
        <v>21</v>
      </c>
      <c r="B19" s="4">
        <v>22.7</v>
      </c>
      <c r="C19" s="4">
        <v>14.4</v>
      </c>
      <c r="D19" s="2">
        <v>16</v>
      </c>
    </row>
    <row r="20" spans="1:4" x14ac:dyDescent="0.35">
      <c r="A20" s="3" t="s">
        <v>22</v>
      </c>
      <c r="B20" s="4">
        <v>23.5</v>
      </c>
      <c r="C20" s="4">
        <v>17.899999999999999</v>
      </c>
      <c r="D20" s="4">
        <v>18.100000000000001</v>
      </c>
    </row>
    <row r="21" spans="1:4" x14ac:dyDescent="0.35">
      <c r="A21" s="3" t="s">
        <v>23</v>
      </c>
      <c r="B21" s="4">
        <v>24.3</v>
      </c>
      <c r="C21" s="4">
        <v>13.1</v>
      </c>
      <c r="D21" s="4">
        <v>11.9</v>
      </c>
    </row>
    <row r="22" spans="1:4" x14ac:dyDescent="0.35">
      <c r="A22" s="3" t="s">
        <v>24</v>
      </c>
      <c r="B22" s="4">
        <v>25.5</v>
      </c>
      <c r="C22" s="4">
        <v>10.1</v>
      </c>
      <c r="D22" s="4">
        <v>14.8</v>
      </c>
    </row>
    <row r="23" spans="1:4" x14ac:dyDescent="0.35">
      <c r="A23" s="3" t="s">
        <v>25</v>
      </c>
      <c r="B23" s="4">
        <v>26.6</v>
      </c>
      <c r="C23" s="4">
        <v>11.6</v>
      </c>
      <c r="D23" s="4">
        <v>16.8</v>
      </c>
    </row>
    <row r="24" spans="1:4" x14ac:dyDescent="0.35">
      <c r="A24" s="3" t="s">
        <v>26</v>
      </c>
      <c r="B24" s="4">
        <v>27.2</v>
      </c>
      <c r="C24" s="4">
        <v>18.7</v>
      </c>
      <c r="D24" s="4">
        <v>13.1</v>
      </c>
    </row>
    <row r="25" spans="1:4" x14ac:dyDescent="0.35">
      <c r="A25" s="3" t="s">
        <v>27</v>
      </c>
      <c r="B25" s="4">
        <v>28.3</v>
      </c>
      <c r="C25" s="4">
        <v>15.5</v>
      </c>
      <c r="D25" s="4">
        <v>12.7</v>
      </c>
    </row>
    <row r="26" spans="1:4" x14ac:dyDescent="0.35">
      <c r="A26" s="5" t="s">
        <v>28</v>
      </c>
      <c r="B26" s="4">
        <v>29.2</v>
      </c>
      <c r="C26" s="4">
        <v>12.9</v>
      </c>
      <c r="D26" s="4">
        <v>19.600000000000001</v>
      </c>
    </row>
    <row r="27" spans="1:4" x14ac:dyDescent="0.35">
      <c r="A27" s="5" t="s">
        <v>29</v>
      </c>
      <c r="B27" s="4">
        <v>20</v>
      </c>
      <c r="C27" s="4">
        <v>19.989999999999998</v>
      </c>
      <c r="D27" s="4">
        <v>19.989999999999998</v>
      </c>
    </row>
    <row r="28" spans="1:4" x14ac:dyDescent="0.35">
      <c r="A28" s="5" t="s">
        <v>30</v>
      </c>
      <c r="B28" s="4">
        <v>29.78</v>
      </c>
      <c r="C28" s="4">
        <v>19.95</v>
      </c>
      <c r="D28" s="4">
        <v>19.93</v>
      </c>
    </row>
    <row r="29" spans="1:4" x14ac:dyDescent="0.35">
      <c r="A29" s="5" t="s">
        <v>31</v>
      </c>
      <c r="B29" s="4">
        <v>20</v>
      </c>
      <c r="C29" s="4">
        <v>13.65</v>
      </c>
      <c r="D29" s="4">
        <v>19.97</v>
      </c>
    </row>
    <row r="30" spans="1:4" x14ac:dyDescent="0.35">
      <c r="A30" s="5" t="s">
        <v>32</v>
      </c>
      <c r="B30" s="4">
        <v>20</v>
      </c>
      <c r="C30" s="4">
        <v>11.5</v>
      </c>
      <c r="D30" s="4">
        <v>19.98</v>
      </c>
    </row>
    <row r="31" spans="1:4" x14ac:dyDescent="0.35">
      <c r="A31" s="5" t="s">
        <v>33</v>
      </c>
      <c r="B31" s="4">
        <v>28.44</v>
      </c>
      <c r="C31" s="4">
        <v>19.95</v>
      </c>
      <c r="D31" s="4">
        <v>10.7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A769-7019-4F8C-9C9E-A47E7D706795}">
  <dimension ref="A1:H31"/>
  <sheetViews>
    <sheetView zoomScale="115" zoomScaleNormal="115" workbookViewId="0">
      <selection activeCell="K30" sqref="K30"/>
    </sheetView>
  </sheetViews>
  <sheetFormatPr defaultRowHeight="14.5" x14ac:dyDescent="0.35"/>
  <sheetData>
    <row r="1" spans="1:8" x14ac:dyDescent="0.35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 x14ac:dyDescent="0.35">
      <c r="A2" s="3" t="s">
        <v>4</v>
      </c>
      <c r="B2">
        <v>134.15693630965262</v>
      </c>
      <c r="C2">
        <v>295.66748221125511</v>
      </c>
      <c r="D2">
        <v>702.56851456685195</v>
      </c>
      <c r="E2">
        <v>1049.7659856775028</v>
      </c>
      <c r="F2">
        <v>1314.0278164942415</v>
      </c>
      <c r="G2">
        <v>1586.6921310205566</v>
      </c>
      <c r="H2">
        <v>1842.9158885435809</v>
      </c>
    </row>
    <row r="3" spans="1:8" x14ac:dyDescent="0.35">
      <c r="A3" s="3" t="s">
        <v>5</v>
      </c>
      <c r="B3">
        <v>155.2184253239642</v>
      </c>
      <c r="C3">
        <v>317.86060207284942</v>
      </c>
      <c r="D3">
        <v>693.66280307128477</v>
      </c>
      <c r="E3">
        <v>1070.3519958264608</v>
      </c>
      <c r="F3">
        <v>1439.1469582880986</v>
      </c>
      <c r="G3">
        <v>1832.7227377170466</v>
      </c>
      <c r="H3">
        <v>2082.5964452205849</v>
      </c>
    </row>
    <row r="4" spans="1:8" x14ac:dyDescent="0.35">
      <c r="A4" s="3" t="s">
        <v>6</v>
      </c>
      <c r="B4">
        <v>129.38092075610854</v>
      </c>
      <c r="C4">
        <v>285.57195666409194</v>
      </c>
      <c r="D4">
        <v>707.17601710851545</v>
      </c>
      <c r="E4">
        <v>1043.2101350453927</v>
      </c>
      <c r="F4">
        <v>1309.5027388502185</v>
      </c>
      <c r="G4">
        <v>1641.9107818783384</v>
      </c>
      <c r="H4">
        <v>1845.6820324903026</v>
      </c>
    </row>
    <row r="5" spans="1:8" x14ac:dyDescent="0.35">
      <c r="A5" s="3" t="s">
        <v>7</v>
      </c>
      <c r="B5">
        <v>128.675603633538</v>
      </c>
      <c r="C5">
        <v>256.00477386160094</v>
      </c>
      <c r="D5">
        <v>683.70089043564269</v>
      </c>
      <c r="E5">
        <v>1083.2862596503442</v>
      </c>
      <c r="F5">
        <v>1472.3284605043798</v>
      </c>
      <c r="G5">
        <v>1857.2891829494881</v>
      </c>
      <c r="H5">
        <v>2295.6827176731076</v>
      </c>
    </row>
    <row r="6" spans="1:8" x14ac:dyDescent="0.35">
      <c r="A6" s="3" t="s">
        <v>8</v>
      </c>
      <c r="B6">
        <v>82.248173016388478</v>
      </c>
      <c r="C6">
        <v>273.8006796174119</v>
      </c>
      <c r="D6">
        <v>656.75956914735139</v>
      </c>
      <c r="E6">
        <v>1028.514334700646</v>
      </c>
      <c r="F6">
        <v>1325.949298897847</v>
      </c>
      <c r="G6">
        <v>1643.8520109680831</v>
      </c>
      <c r="H6">
        <v>1985.336765276757</v>
      </c>
    </row>
    <row r="7" spans="1:8" x14ac:dyDescent="0.35">
      <c r="A7" s="3" t="s">
        <v>9</v>
      </c>
      <c r="B7">
        <v>141.70722972507801</v>
      </c>
      <c r="C7">
        <v>353.88293185708903</v>
      </c>
      <c r="D7">
        <v>720.10994179782836</v>
      </c>
      <c r="E7">
        <v>1060.1679966166175</v>
      </c>
      <c r="F7">
        <v>1366.1314894323796</v>
      </c>
      <c r="G7">
        <v>1646.8152296029832</v>
      </c>
      <c r="H7">
        <v>1986.8871000413665</v>
      </c>
    </row>
    <row r="8" spans="1:8" x14ac:dyDescent="0.35">
      <c r="A8" s="3" t="s">
        <v>10</v>
      </c>
      <c r="B8">
        <v>230.28789547447457</v>
      </c>
      <c r="C8">
        <v>438.37153586089039</v>
      </c>
      <c r="D8">
        <v>809.36982178236201</v>
      </c>
      <c r="E8">
        <v>1175.9426940513561</v>
      </c>
      <c r="F8">
        <v>1482.2398676029891</v>
      </c>
      <c r="G8">
        <v>1778.393004041186</v>
      </c>
      <c r="H8">
        <v>2044.5419390129709</v>
      </c>
    </row>
    <row r="9" spans="1:8" x14ac:dyDescent="0.35">
      <c r="A9" s="3" t="s">
        <v>11</v>
      </c>
      <c r="B9">
        <v>120.28284365014565</v>
      </c>
      <c r="C9">
        <v>275.07384376753851</v>
      </c>
      <c r="D9">
        <v>696.48791747458813</v>
      </c>
      <c r="E9">
        <v>1073.9376584769275</v>
      </c>
      <c r="F9">
        <v>1333.6037652298746</v>
      </c>
      <c r="G9">
        <v>1619.8208791708735</v>
      </c>
      <c r="H9">
        <v>1913.1249203490643</v>
      </c>
    </row>
    <row r="10" spans="1:8" x14ac:dyDescent="0.35">
      <c r="A10" s="3" t="s">
        <v>12</v>
      </c>
      <c r="B10">
        <v>148.30969144421499</v>
      </c>
      <c r="C10">
        <v>312.56107645023599</v>
      </c>
      <c r="D10">
        <v>749.56345776884098</v>
      </c>
      <c r="E10">
        <v>1126.6104407969563</v>
      </c>
      <c r="F10">
        <v>1389.9065975124131</v>
      </c>
      <c r="G10">
        <v>1670.7719789660282</v>
      </c>
      <c r="H10">
        <v>1965.4044397199698</v>
      </c>
    </row>
    <row r="11" spans="1:8" x14ac:dyDescent="0.35">
      <c r="A11" s="3" t="s">
        <v>13</v>
      </c>
      <c r="B11">
        <v>103.34216532884599</v>
      </c>
      <c r="C11">
        <v>295.90536115165099</v>
      </c>
      <c r="D11">
        <v>797.761482677912</v>
      </c>
      <c r="E11">
        <v>1222.6072286088163</v>
      </c>
      <c r="F11">
        <v>1663.8220171400624</v>
      </c>
      <c r="G11">
        <v>2149.9421888444358</v>
      </c>
      <c r="H11">
        <v>2527.3139375496398</v>
      </c>
    </row>
    <row r="12" spans="1:8" x14ac:dyDescent="0.35">
      <c r="A12" s="3" t="s">
        <v>14</v>
      </c>
      <c r="B12">
        <v>125.3695364380734</v>
      </c>
      <c r="C12">
        <v>295.97780921406257</v>
      </c>
      <c r="D12">
        <v>667.34455161347557</v>
      </c>
      <c r="E12">
        <v>1038.7916540307394</v>
      </c>
      <c r="F12">
        <v>1352.9741960942113</v>
      </c>
      <c r="G12">
        <v>1668.5630736353603</v>
      </c>
      <c r="H12">
        <v>1966.1088230642242</v>
      </c>
    </row>
    <row r="13" spans="1:8" x14ac:dyDescent="0.35">
      <c r="A13" s="3" t="s">
        <v>15</v>
      </c>
      <c r="B13">
        <v>110.28277652891136</v>
      </c>
      <c r="C13">
        <v>241.48138282013252</v>
      </c>
      <c r="D13">
        <v>616.88885053237323</v>
      </c>
      <c r="E13">
        <v>955.73109370665566</v>
      </c>
      <c r="F13">
        <v>1288.9265110794638</v>
      </c>
      <c r="G13">
        <v>1576.4642694997949</v>
      </c>
      <c r="H13">
        <v>1820.9491668089763</v>
      </c>
    </row>
    <row r="14" spans="1:8" x14ac:dyDescent="0.35">
      <c r="A14" s="3" t="s">
        <v>16</v>
      </c>
      <c r="B14">
        <v>131.58406604056546</v>
      </c>
      <c r="C14">
        <v>304.98521992748232</v>
      </c>
      <c r="D14">
        <v>813.46181497819316</v>
      </c>
      <c r="E14">
        <v>1230.8917187948712</v>
      </c>
      <c r="F14">
        <v>1628.028346267499</v>
      </c>
      <c r="G14">
        <v>2039.5037694638474</v>
      </c>
      <c r="H14">
        <v>2279.7382173637438</v>
      </c>
    </row>
    <row r="15" spans="1:8" x14ac:dyDescent="0.35">
      <c r="A15" s="3" t="s">
        <v>17</v>
      </c>
      <c r="B15">
        <v>74.483813499945029</v>
      </c>
      <c r="C15">
        <v>218.49834599070701</v>
      </c>
      <c r="D15">
        <v>686.03914866777984</v>
      </c>
      <c r="E15">
        <v>988.64187780356463</v>
      </c>
      <c r="F15">
        <v>1315.7262076232382</v>
      </c>
      <c r="G15">
        <v>1645.2057486607271</v>
      </c>
      <c r="H15">
        <v>1882.9579521221331</v>
      </c>
    </row>
    <row r="16" spans="1:8" x14ac:dyDescent="0.35">
      <c r="A16" s="3" t="s">
        <v>18</v>
      </c>
      <c r="B16">
        <v>151.68530344491455</v>
      </c>
      <c r="C16">
        <v>288.38716646317761</v>
      </c>
      <c r="D16">
        <v>733.95808295225208</v>
      </c>
      <c r="E16">
        <v>1130.3800910710388</v>
      </c>
      <c r="F16">
        <v>1469.4911543461446</v>
      </c>
      <c r="G16">
        <v>1845.5575047331279</v>
      </c>
      <c r="H16">
        <v>2023.4629109534023</v>
      </c>
    </row>
    <row r="17" spans="1:8" x14ac:dyDescent="0.35">
      <c r="A17" s="3" t="s">
        <v>19</v>
      </c>
      <c r="B17" s="6">
        <v>178.20818060763978</v>
      </c>
      <c r="C17" s="6">
        <v>418.73080772052481</v>
      </c>
      <c r="D17" s="6">
        <v>933.84962327271626</v>
      </c>
      <c r="E17" s="6">
        <v>1395.4619108343177</v>
      </c>
      <c r="F17" s="6">
        <v>1854.1935510875076</v>
      </c>
      <c r="G17" s="6">
        <v>2255.4789039318584</v>
      </c>
      <c r="H17" s="6">
        <v>2668.9226092268832</v>
      </c>
    </row>
    <row r="18" spans="1:8" x14ac:dyDescent="0.35">
      <c r="A18" s="3" t="s">
        <v>20</v>
      </c>
      <c r="B18">
        <v>185.99180025903954</v>
      </c>
      <c r="C18">
        <v>399.43594901115921</v>
      </c>
      <c r="D18">
        <v>886.65517609420567</v>
      </c>
      <c r="E18">
        <v>1352.1616450222004</v>
      </c>
      <c r="F18">
        <v>1844.1960382180175</v>
      </c>
      <c r="G18">
        <v>2195.3349993083852</v>
      </c>
      <c r="H18">
        <v>2584.3181040261829</v>
      </c>
    </row>
    <row r="19" spans="1:8" x14ac:dyDescent="0.35">
      <c r="A19" s="3" t="s">
        <v>21</v>
      </c>
      <c r="B19">
        <v>170.73339390465418</v>
      </c>
      <c r="C19">
        <v>433.41519262476021</v>
      </c>
      <c r="D19">
        <v>854.4769211836898</v>
      </c>
      <c r="E19">
        <v>1320.314250640768</v>
      </c>
      <c r="F19">
        <v>1799.5979400905849</v>
      </c>
      <c r="G19">
        <v>2280.6632962272133</v>
      </c>
      <c r="H19">
        <v>2705.3571303612052</v>
      </c>
    </row>
    <row r="20" spans="1:8" x14ac:dyDescent="0.35">
      <c r="A20" s="3" t="s">
        <v>22</v>
      </c>
      <c r="B20">
        <v>171.83335037719999</v>
      </c>
      <c r="C20">
        <v>402.99849897150887</v>
      </c>
      <c r="D20">
        <v>851.54420346177562</v>
      </c>
      <c r="E20">
        <v>1310.4940691485417</v>
      </c>
      <c r="F20">
        <v>1773.0249448412189</v>
      </c>
      <c r="G20">
        <v>2208.1314050162505</v>
      </c>
      <c r="H20">
        <v>2643.8865042211705</v>
      </c>
    </row>
    <row r="21" spans="1:8" x14ac:dyDescent="0.35">
      <c r="A21" s="3" t="s">
        <v>23</v>
      </c>
      <c r="B21">
        <v>172.84921396690351</v>
      </c>
      <c r="C21">
        <v>294.4281211120724</v>
      </c>
      <c r="D21">
        <v>660.09642349398507</v>
      </c>
      <c r="E21">
        <v>983.66931495068036</v>
      </c>
      <c r="F21">
        <v>1348.8722790709294</v>
      </c>
      <c r="G21">
        <v>1678.0066287439495</v>
      </c>
      <c r="H21">
        <v>2034.6650367030652</v>
      </c>
    </row>
    <row r="22" spans="1:8" x14ac:dyDescent="0.35">
      <c r="A22" s="3" t="s">
        <v>24</v>
      </c>
      <c r="B22">
        <v>83.654909917253036</v>
      </c>
      <c r="C22">
        <v>432.59691877708968</v>
      </c>
      <c r="D22">
        <v>842.115078104075</v>
      </c>
      <c r="E22">
        <v>1269.4876706526707</v>
      </c>
      <c r="F22">
        <v>1736.2001161911921</v>
      </c>
      <c r="G22">
        <v>2217.6335303307237</v>
      </c>
      <c r="H22">
        <v>2550.25165186001</v>
      </c>
    </row>
    <row r="23" spans="1:8" x14ac:dyDescent="0.35">
      <c r="A23" s="3" t="s">
        <v>25</v>
      </c>
      <c r="B23">
        <v>85.723217658300584</v>
      </c>
      <c r="C23">
        <v>250.62832140465844</v>
      </c>
      <c r="D23">
        <v>592.04640423113472</v>
      </c>
      <c r="E23">
        <v>942.82468908134422</v>
      </c>
      <c r="F23">
        <v>1264.4485840432001</v>
      </c>
      <c r="G23">
        <v>1630.3413683707399</v>
      </c>
      <c r="H23">
        <v>2005.4015880648101</v>
      </c>
    </row>
    <row r="24" spans="1:8" x14ac:dyDescent="0.35">
      <c r="A24" s="3" t="s">
        <v>26</v>
      </c>
      <c r="B24">
        <v>73.30105037357518</v>
      </c>
      <c r="C24">
        <v>243.353927415177</v>
      </c>
      <c r="D24">
        <v>646.03978281409206</v>
      </c>
      <c r="E24">
        <v>1037.2357720510822</v>
      </c>
      <c r="F24">
        <v>1428.4501021907522</v>
      </c>
      <c r="G24">
        <v>1824.2375628328646</v>
      </c>
      <c r="H24">
        <v>2181.3841269950899</v>
      </c>
    </row>
    <row r="25" spans="1:8" x14ac:dyDescent="0.35">
      <c r="A25" s="3" t="s">
        <v>27</v>
      </c>
      <c r="B25">
        <v>87.597546053456497</v>
      </c>
      <c r="C25">
        <v>254.07401340984515</v>
      </c>
      <c r="D25">
        <v>604.46494929284756</v>
      </c>
      <c r="E25">
        <v>985.04507101268337</v>
      </c>
      <c r="F25">
        <v>1355.4320264904284</v>
      </c>
      <c r="G25">
        <v>1718.8367990922068</v>
      </c>
      <c r="H25">
        <v>2074.6665262686902</v>
      </c>
    </row>
    <row r="26" spans="1:8" x14ac:dyDescent="0.35">
      <c r="A26" s="5" t="s">
        <v>28</v>
      </c>
      <c r="B26">
        <v>89.090892422813667</v>
      </c>
      <c r="C26">
        <v>228.43682062643347</v>
      </c>
      <c r="D26">
        <v>586.09048965770251</v>
      </c>
      <c r="E26">
        <v>949.30785908980465</v>
      </c>
      <c r="F26">
        <v>1370.3229658248624</v>
      </c>
      <c r="G26">
        <v>1829.4560857074</v>
      </c>
      <c r="H26">
        <v>2158.75607469123</v>
      </c>
    </row>
    <row r="27" spans="1:8" x14ac:dyDescent="0.35">
      <c r="A27" s="5" t="s">
        <v>29</v>
      </c>
      <c r="B27">
        <v>150.76568313583357</v>
      </c>
      <c r="C27">
        <v>374.37997643150288</v>
      </c>
      <c r="D27">
        <v>765.39168344296672</v>
      </c>
      <c r="E27">
        <v>1146.6354849064901</v>
      </c>
      <c r="F27">
        <v>1685.9692686583694</v>
      </c>
      <c r="G27">
        <v>2205.533444883391</v>
      </c>
      <c r="H27">
        <v>2963.2451806603653</v>
      </c>
    </row>
    <row r="28" spans="1:8" x14ac:dyDescent="0.35">
      <c r="A28" s="5" t="s">
        <v>30</v>
      </c>
      <c r="B28">
        <v>137.19334165215074</v>
      </c>
      <c r="C28">
        <v>314.6611409242588</v>
      </c>
      <c r="D28">
        <v>691.06105348001086</v>
      </c>
      <c r="E28">
        <v>1008.3561681748452</v>
      </c>
      <c r="F28">
        <v>1385.0868101763499</v>
      </c>
      <c r="G28">
        <v>1649.7880839930613</v>
      </c>
      <c r="H28">
        <v>1968.5082757561465</v>
      </c>
    </row>
    <row r="29" spans="1:8" x14ac:dyDescent="0.35">
      <c r="A29" s="5" t="s">
        <v>31</v>
      </c>
      <c r="B29">
        <v>165.19129572494015</v>
      </c>
      <c r="C29">
        <v>404.07387446842512</v>
      </c>
      <c r="D29">
        <v>1196.7346454580086</v>
      </c>
      <c r="E29">
        <v>1673.3384210449021</v>
      </c>
      <c r="F29">
        <v>2178.8704510526095</v>
      </c>
      <c r="G29">
        <v>2670.3290571238595</v>
      </c>
      <c r="H29">
        <v>2983.0961874122595</v>
      </c>
    </row>
    <row r="30" spans="1:8" x14ac:dyDescent="0.35">
      <c r="A30" s="5" t="s">
        <v>32</v>
      </c>
      <c r="B30">
        <v>168.79513087694622</v>
      </c>
      <c r="C30">
        <v>374.09854224778405</v>
      </c>
      <c r="D30">
        <v>1059.5929058623281</v>
      </c>
      <c r="E30">
        <v>1514.6653576358433</v>
      </c>
      <c r="F30">
        <v>2161.9626837644751</v>
      </c>
      <c r="G30">
        <v>2595.5352248453037</v>
      </c>
      <c r="H30">
        <v>3008.198194823261</v>
      </c>
    </row>
    <row r="31" spans="1:8" x14ac:dyDescent="0.35">
      <c r="A31" s="5" t="s">
        <v>33</v>
      </c>
      <c r="B31">
        <v>68.88528518496193</v>
      </c>
      <c r="C31">
        <v>283.72920056163275</v>
      </c>
      <c r="D31">
        <v>623.76413123349482</v>
      </c>
      <c r="E31">
        <v>951.72842962794766</v>
      </c>
      <c r="F31">
        <v>1302.62401793345</v>
      </c>
      <c r="G31">
        <v>1606.1446102942559</v>
      </c>
      <c r="H31">
        <v>1962.31756730292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D118-8276-43D5-9F70-E3627F50D2FC}">
  <dimension ref="A1:D13"/>
  <sheetViews>
    <sheetView workbookViewId="0">
      <selection activeCell="K20" sqref="K20"/>
    </sheetView>
  </sheetViews>
  <sheetFormatPr defaultRowHeight="14.5" x14ac:dyDescent="0.35"/>
  <sheetData>
    <row r="1" spans="1:4" x14ac:dyDescent="0.35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7" t="s">
        <v>28</v>
      </c>
      <c r="B2">
        <v>29.2</v>
      </c>
      <c r="C2">
        <v>12.9</v>
      </c>
      <c r="D2">
        <v>19.600000000000001</v>
      </c>
    </row>
    <row r="3" spans="1:4" x14ac:dyDescent="0.35">
      <c r="A3" s="7" t="s">
        <v>29</v>
      </c>
      <c r="B3">
        <v>20</v>
      </c>
      <c r="C3">
        <v>19.989999999999998</v>
      </c>
      <c r="D3">
        <v>19.989999999999998</v>
      </c>
    </row>
    <row r="4" spans="1:4" x14ac:dyDescent="0.35">
      <c r="A4" s="7" t="s">
        <v>30</v>
      </c>
      <c r="B4">
        <v>29.78</v>
      </c>
      <c r="C4">
        <v>19.95</v>
      </c>
      <c r="D4">
        <v>19.93</v>
      </c>
    </row>
    <row r="5" spans="1:4" x14ac:dyDescent="0.35">
      <c r="A5" s="7" t="s">
        <v>31</v>
      </c>
      <c r="B5">
        <v>20</v>
      </c>
      <c r="C5">
        <v>13.65</v>
      </c>
      <c r="D5">
        <v>19.97</v>
      </c>
    </row>
    <row r="6" spans="1:4" x14ac:dyDescent="0.35">
      <c r="A6" s="7" t="s">
        <v>32</v>
      </c>
      <c r="B6">
        <v>20</v>
      </c>
      <c r="C6">
        <v>11.5</v>
      </c>
      <c r="D6">
        <v>19.98</v>
      </c>
    </row>
    <row r="7" spans="1:4" x14ac:dyDescent="0.35">
      <c r="A7" s="7" t="s">
        <v>33</v>
      </c>
      <c r="B7">
        <v>28.44</v>
      </c>
      <c r="C7">
        <v>19.95</v>
      </c>
      <c r="D7">
        <v>10.7</v>
      </c>
    </row>
    <row r="8" spans="1:4" x14ac:dyDescent="0.35">
      <c r="A8" s="7" t="s">
        <v>41</v>
      </c>
      <c r="B8" s="4">
        <v>20</v>
      </c>
      <c r="C8" s="4">
        <v>10.1</v>
      </c>
      <c r="D8" s="4">
        <v>19.989999999999998</v>
      </c>
    </row>
    <row r="9" spans="1:4" x14ac:dyDescent="0.35">
      <c r="A9" s="7" t="s">
        <v>42</v>
      </c>
      <c r="B9" s="4">
        <v>20</v>
      </c>
      <c r="C9" s="4">
        <v>10</v>
      </c>
      <c r="D9" s="4">
        <v>15.43</v>
      </c>
    </row>
    <row r="10" spans="1:4" x14ac:dyDescent="0.35">
      <c r="A10" s="7" t="s">
        <v>43</v>
      </c>
      <c r="B10" s="4">
        <v>20</v>
      </c>
      <c r="C10" s="4">
        <v>10.08</v>
      </c>
      <c r="D10" s="4">
        <v>19.97</v>
      </c>
    </row>
    <row r="11" spans="1:4" x14ac:dyDescent="0.35">
      <c r="A11" s="7" t="s">
        <v>44</v>
      </c>
      <c r="B11" s="4">
        <v>20</v>
      </c>
      <c r="C11" s="4">
        <v>10.11</v>
      </c>
      <c r="D11" s="4">
        <v>19.97</v>
      </c>
    </row>
    <row r="12" spans="1:4" x14ac:dyDescent="0.35">
      <c r="A12" s="7" t="s">
        <v>45</v>
      </c>
      <c r="B12" s="4">
        <v>20</v>
      </c>
      <c r="C12" s="4">
        <v>10.15</v>
      </c>
      <c r="D12" s="4">
        <v>19.98</v>
      </c>
    </row>
    <row r="13" spans="1:4" x14ac:dyDescent="0.35">
      <c r="A13" s="7" t="s">
        <v>46</v>
      </c>
      <c r="B13" s="4">
        <v>20</v>
      </c>
      <c r="C13" s="4">
        <v>10.07</v>
      </c>
      <c r="D13" s="4">
        <v>12.53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3C36-6585-4737-BDE5-8FCA4F730AB1}">
  <dimension ref="A1:H7"/>
  <sheetViews>
    <sheetView zoomScale="115" zoomScaleNormal="115" workbookViewId="0">
      <selection activeCell="H14" sqref="H14"/>
    </sheetView>
  </sheetViews>
  <sheetFormatPr defaultRowHeight="14.5" x14ac:dyDescent="0.35"/>
  <sheetData>
    <row r="1" spans="1:8" x14ac:dyDescent="0.35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 x14ac:dyDescent="0.35">
      <c r="A2" s="7" t="s">
        <v>41</v>
      </c>
      <c r="B2">
        <v>202.32970756963002</v>
      </c>
      <c r="C2">
        <v>464.5757791687638</v>
      </c>
      <c r="D2">
        <v>1193.3331037644784</v>
      </c>
      <c r="E2">
        <v>1674.2430183382928</v>
      </c>
      <c r="F2">
        <v>2277.6582310310619</v>
      </c>
      <c r="G2">
        <v>2689.3351124118763</v>
      </c>
      <c r="H2">
        <v>3239.8487108096101</v>
      </c>
    </row>
    <row r="3" spans="1:8" x14ac:dyDescent="0.35">
      <c r="A3" s="7" t="s">
        <v>42</v>
      </c>
      <c r="B3">
        <v>181.73856363249791</v>
      </c>
      <c r="C3">
        <v>433.04547686326089</v>
      </c>
      <c r="D3">
        <v>846.69029014771752</v>
      </c>
      <c r="E3">
        <v>1441.0552368710644</v>
      </c>
      <c r="F3">
        <v>2102.4939331401138</v>
      </c>
      <c r="G3">
        <v>2573.9099269324497</v>
      </c>
      <c r="H3">
        <v>3058.4934105145899</v>
      </c>
    </row>
    <row r="4" spans="1:8" x14ac:dyDescent="0.35">
      <c r="A4" s="7" t="s">
        <v>43</v>
      </c>
      <c r="B4">
        <v>187.75208138733211</v>
      </c>
      <c r="C4">
        <v>466.78682562970454</v>
      </c>
      <c r="D4">
        <v>1234.1807989918029</v>
      </c>
      <c r="E4">
        <v>1719.7616757383635</v>
      </c>
      <c r="F4">
        <v>2254.8485892388276</v>
      </c>
      <c r="G4">
        <v>2801.7449591466334</v>
      </c>
      <c r="H4">
        <v>3234.4014361046202</v>
      </c>
    </row>
    <row r="5" spans="1:8" x14ac:dyDescent="0.35">
      <c r="A5" s="7" t="s">
        <v>44</v>
      </c>
      <c r="B5">
        <v>211.54866764945791</v>
      </c>
      <c r="C5">
        <v>474.77114734029874</v>
      </c>
      <c r="D5">
        <v>1052.4906148149266</v>
      </c>
      <c r="E5">
        <v>1482.4754734745536</v>
      </c>
      <c r="F5">
        <v>2066.7666808380959</v>
      </c>
      <c r="G5">
        <v>2606.0242322624358</v>
      </c>
      <c r="H5">
        <v>3305.1355806718707</v>
      </c>
    </row>
    <row r="6" spans="1:8" x14ac:dyDescent="0.35">
      <c r="A6" s="7" t="s">
        <v>45</v>
      </c>
      <c r="B6">
        <v>194.94732666757088</v>
      </c>
      <c r="C6">
        <v>512.46169739113122</v>
      </c>
      <c r="D6">
        <v>1136.3666938877832</v>
      </c>
      <c r="E6">
        <v>1513.7597991937823</v>
      </c>
      <c r="F6">
        <v>2089.5991154406561</v>
      </c>
      <c r="G6">
        <v>2562.0669623483896</v>
      </c>
      <c r="H6">
        <v>3092.0641254534098</v>
      </c>
    </row>
    <row r="7" spans="1:8" x14ac:dyDescent="0.35">
      <c r="A7" s="7" t="s">
        <v>46</v>
      </c>
      <c r="B7">
        <v>142.53719695877999</v>
      </c>
      <c r="C7">
        <v>391.38180281936025</v>
      </c>
      <c r="D7">
        <v>935.78509807829289</v>
      </c>
      <c r="E7">
        <v>1261.1204433825101</v>
      </c>
      <c r="F7">
        <v>1739.2963202189189</v>
      </c>
      <c r="G7">
        <v>2401.110692476092</v>
      </c>
      <c r="H7">
        <v>2871.56214287697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5705-31EE-4DA0-8A5B-7F38221A0A30}">
  <dimension ref="A1:R6"/>
  <sheetViews>
    <sheetView tabSelected="1" zoomScale="145" zoomScaleNormal="145" workbookViewId="0">
      <selection activeCell="P11" sqref="P11"/>
    </sheetView>
  </sheetViews>
  <sheetFormatPr defaultRowHeight="14.5" x14ac:dyDescent="0.35"/>
  <cols>
    <col min="1" max="1" width="15.26953125" customWidth="1"/>
  </cols>
  <sheetData>
    <row r="1" spans="1:18" x14ac:dyDescent="0.35">
      <c r="A1" s="16" t="s">
        <v>0</v>
      </c>
      <c r="B1" s="17" t="s">
        <v>1</v>
      </c>
      <c r="C1" s="17" t="s">
        <v>2</v>
      </c>
      <c r="D1" s="17" t="s">
        <v>58</v>
      </c>
      <c r="E1" s="15" t="s">
        <v>60</v>
      </c>
      <c r="F1" s="14" t="s">
        <v>47</v>
      </c>
      <c r="G1" s="15" t="s">
        <v>61</v>
      </c>
      <c r="H1" s="14" t="s">
        <v>48</v>
      </c>
      <c r="I1" s="15" t="s">
        <v>62</v>
      </c>
      <c r="J1" s="14" t="s">
        <v>49</v>
      </c>
      <c r="K1" s="15" t="s">
        <v>63</v>
      </c>
      <c r="L1" s="14" t="s">
        <v>50</v>
      </c>
      <c r="M1" s="15" t="s">
        <v>64</v>
      </c>
      <c r="N1" s="14" t="s">
        <v>51</v>
      </c>
      <c r="O1" s="15" t="s">
        <v>65</v>
      </c>
      <c r="P1" s="14" t="s">
        <v>52</v>
      </c>
      <c r="Q1" s="15" t="s">
        <v>66</v>
      </c>
      <c r="R1" s="14" t="s">
        <v>53</v>
      </c>
    </row>
    <row r="2" spans="1:18" x14ac:dyDescent="0.35">
      <c r="A2" s="16" t="s">
        <v>59</v>
      </c>
      <c r="B2" s="16">
        <v>26.62</v>
      </c>
      <c r="C2" s="16">
        <v>14.42</v>
      </c>
      <c r="D2" s="16">
        <v>14.11</v>
      </c>
      <c r="E2">
        <v>332.98609676452145</v>
      </c>
      <c r="F2">
        <v>52.345748166148894</v>
      </c>
      <c r="G2">
        <v>725.85537434301568</v>
      </c>
      <c r="H2">
        <v>76.378937470512852</v>
      </c>
      <c r="I2">
        <v>1491.0706876789645</v>
      </c>
      <c r="J2">
        <v>127.61795498961592</v>
      </c>
      <c r="K2">
        <v>2235.138217789447</v>
      </c>
      <c r="L2">
        <v>94.986287624949469</v>
      </c>
      <c r="M2">
        <v>2837.4462855935294</v>
      </c>
      <c r="N2">
        <v>188.27756289632478</v>
      </c>
      <c r="O2">
        <v>3395.9558684338481</v>
      </c>
      <c r="P2">
        <v>165.43058180425834</v>
      </c>
      <c r="Q2">
        <v>3867.8776939478876</v>
      </c>
      <c r="R2">
        <v>102.74235228114523</v>
      </c>
    </row>
    <row r="3" spans="1:18" x14ac:dyDescent="0.35">
      <c r="A3" s="16" t="s">
        <v>67</v>
      </c>
      <c r="B3" s="16">
        <v>26.59</v>
      </c>
      <c r="C3" s="16">
        <v>14.42</v>
      </c>
      <c r="D3" s="16">
        <v>14.1</v>
      </c>
      <c r="E3">
        <v>212.96112401089249</v>
      </c>
      <c r="F3">
        <v>19.362938655334364</v>
      </c>
      <c r="G3">
        <v>567.26669940341094</v>
      </c>
      <c r="H3">
        <v>20.253135324943383</v>
      </c>
      <c r="I3">
        <v>1405.5477186253252</v>
      </c>
      <c r="J3">
        <v>183.51077798728224</v>
      </c>
      <c r="K3">
        <v>2082.6156232310509</v>
      </c>
      <c r="L3">
        <v>287.38159710976242</v>
      </c>
      <c r="M3">
        <v>2605.5483233577343</v>
      </c>
      <c r="N3">
        <v>307.16644824602145</v>
      </c>
      <c r="O3">
        <v>3057.3647092385054</v>
      </c>
      <c r="P3">
        <v>290.29293899330196</v>
      </c>
      <c r="Q3">
        <v>3445.8879384486172</v>
      </c>
      <c r="R3">
        <v>295.45462931771317</v>
      </c>
    </row>
    <row r="4" spans="1:18" x14ac:dyDescent="0.35">
      <c r="A4" s="16" t="s">
        <v>68</v>
      </c>
      <c r="B4" s="16">
        <v>26.6</v>
      </c>
      <c r="C4" s="16">
        <v>14.4</v>
      </c>
      <c r="D4" s="16">
        <v>14.11</v>
      </c>
      <c r="E4">
        <v>203.21149287050025</v>
      </c>
      <c r="F4">
        <v>24.720176044058697</v>
      </c>
      <c r="G4">
        <v>565.82863620180558</v>
      </c>
      <c r="H4">
        <v>34.39918690173478</v>
      </c>
      <c r="I4">
        <v>1446.5829269862238</v>
      </c>
      <c r="J4">
        <v>138.73781414469127</v>
      </c>
      <c r="K4">
        <v>2099.7784683726268</v>
      </c>
      <c r="L4">
        <v>196.70840807090522</v>
      </c>
      <c r="M4">
        <v>2689.283409598836</v>
      </c>
      <c r="N4">
        <v>247.71323546346818</v>
      </c>
      <c r="O4">
        <v>3263.9238624359523</v>
      </c>
      <c r="P4">
        <v>246.95979067248462</v>
      </c>
      <c r="Q4">
        <v>3754.5045782438929</v>
      </c>
      <c r="R4">
        <v>223.78209172143764</v>
      </c>
    </row>
    <row r="5" spans="1:18" x14ac:dyDescent="0.35">
      <c r="A5" s="16" t="s">
        <v>69</v>
      </c>
      <c r="B5" s="16">
        <v>26.6</v>
      </c>
      <c r="C5" s="16">
        <v>14.44</v>
      </c>
      <c r="D5" s="16">
        <v>14.1</v>
      </c>
      <c r="E5">
        <v>221.19336519554724</v>
      </c>
      <c r="F5">
        <v>75.743347348684779</v>
      </c>
      <c r="G5">
        <v>607.37164558567667</v>
      </c>
      <c r="H5">
        <v>62.292639814350473</v>
      </c>
      <c r="I5">
        <v>1432.6613817245293</v>
      </c>
      <c r="J5">
        <v>182.08160483030326</v>
      </c>
      <c r="K5">
        <v>2104.1379942435865</v>
      </c>
      <c r="L5">
        <v>238.21365545085771</v>
      </c>
      <c r="M5">
        <v>2633.2217715122824</v>
      </c>
      <c r="N5">
        <v>248.26899198673715</v>
      </c>
      <c r="O5">
        <v>3161.9712180655461</v>
      </c>
      <c r="P5">
        <v>244.95167953383984</v>
      </c>
      <c r="Q5">
        <v>3860.4136928819803</v>
      </c>
      <c r="R5">
        <v>253.60121136612841</v>
      </c>
    </row>
    <row r="6" spans="1:18" x14ac:dyDescent="0.35">
      <c r="A6" s="16" t="s">
        <v>70</v>
      </c>
      <c r="B6" s="16">
        <v>26.73</v>
      </c>
      <c r="C6" s="16">
        <v>14.53</v>
      </c>
      <c r="D6" s="16">
        <v>14.1</v>
      </c>
      <c r="E6">
        <v>217.02804705409707</v>
      </c>
      <c r="F6">
        <v>38.968191581248355</v>
      </c>
      <c r="G6">
        <v>534.83770433831353</v>
      </c>
      <c r="H6">
        <v>28.188656699370654</v>
      </c>
      <c r="I6">
        <v>1364.4951049841632</v>
      </c>
      <c r="J6">
        <v>144.25675035951687</v>
      </c>
      <c r="K6">
        <v>2008.8056698300065</v>
      </c>
      <c r="L6">
        <v>253.27050525368375</v>
      </c>
      <c r="M6">
        <v>2565.5760080867703</v>
      </c>
      <c r="N6">
        <v>252.69905883537234</v>
      </c>
      <c r="O6">
        <v>3091.0372234801266</v>
      </c>
      <c r="P6">
        <v>273.85441534030485</v>
      </c>
      <c r="Q6">
        <v>3669.550765086874</v>
      </c>
      <c r="R6">
        <v>92.669251511415794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analysis</vt:lpstr>
      <vt:lpstr>Formulas-train</vt:lpstr>
      <vt:lpstr>Release-train</vt:lpstr>
      <vt:lpstr>Formulation-test</vt:lpstr>
      <vt:lpstr>Release-test</vt:lpstr>
      <vt:lpstr>Opt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Yu (PG/R - Chemistry &amp; Chem Eng)</dc:creator>
  <cp:lastModifiedBy>Zhang, Yu (PG/R - Chemistry &amp; Chem Eng)</cp:lastModifiedBy>
  <dcterms:created xsi:type="dcterms:W3CDTF">2015-06-05T18:17:20Z</dcterms:created>
  <dcterms:modified xsi:type="dcterms:W3CDTF">2025-11-21T16:50:22Z</dcterms:modified>
</cp:coreProperties>
</file>