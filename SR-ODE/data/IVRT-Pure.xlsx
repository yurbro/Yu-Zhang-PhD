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urreyac-my.sharepoint.com/personal/yz02380_surrey_ac_uk/Documents/Science Research/Codes/Symbolic Differential/SymODE/data/"/>
    </mc:Choice>
  </mc:AlternateContent>
  <xr:revisionPtr revIDLastSave="395" documentId="11_F25DC773A252ABDACC1048C2A1DB7CBE5BDE5908" xr6:coauthVersionLast="47" xr6:coauthVersionMax="47" xr10:uidLastSave="{4845B9BB-10E3-4C7E-A209-F22B095F6E92}"/>
  <bookViews>
    <workbookView xWindow="28680" yWindow="-1995" windowWidth="29040" windowHeight="17640" xr2:uid="{00000000-000D-0000-FFFF-FFFF00000000}"/>
  </bookViews>
  <sheets>
    <sheet name="Formulas-train" sheetId="1" r:id="rId1"/>
    <sheet name="Release-train" sheetId="2" r:id="rId2"/>
    <sheet name="Formulas-test" sheetId="3" r:id="rId3"/>
    <sheet name="Release-test" sheetId="4" r:id="rId4"/>
    <sheet name="Release-opt" sheetId="9" r:id="rId5"/>
    <sheet name="Formulas-test-opt1" sheetId="7" r:id="rId6"/>
    <sheet name="Release-test-opt1" sheetId="8" r:id="rId7"/>
    <sheet name="Formulas-test-opt2" sheetId="5" r:id="rId8"/>
    <sheet name="Release-test-opt2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G6" i="2"/>
  <c r="F6" i="2"/>
  <c r="E6" i="2"/>
  <c r="D6" i="2"/>
  <c r="C6" i="2"/>
  <c r="B6" i="2"/>
</calcChain>
</file>

<file path=xl/sharedStrings.xml><?xml version="1.0" encoding="utf-8"?>
<sst xmlns="http://schemas.openxmlformats.org/spreadsheetml/2006/main" count="172" uniqueCount="58">
  <si>
    <t>Run No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</si>
  <si>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</si>
  <si>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</si>
  <si>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</si>
  <si>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</si>
  <si>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</si>
  <si>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</si>
  <si>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</si>
  <si>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</si>
  <si>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</si>
  <si>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</si>
  <si>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</si>
  <si>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</si>
  <si>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</si>
  <si>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</si>
  <si>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</si>
  <si>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</si>
  <si>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</si>
  <si>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</si>
  <si>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</si>
  <si>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</si>
  <si>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</si>
  <si>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</si>
  <si>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</si>
  <si>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</si>
  <si>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</si>
  <si>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R_t2</t>
  </si>
  <si>
    <t>R_t3</t>
  </si>
  <si>
    <t>R_t4</t>
  </si>
  <si>
    <t>R_t5</t>
  </si>
  <si>
    <t>R_t6</t>
  </si>
  <si>
    <t>R_t7</t>
  </si>
  <si>
    <t>Poloxamer 407</t>
  </si>
  <si>
    <t>Ethanol</t>
  </si>
  <si>
    <t>Opt-2</t>
  </si>
  <si>
    <t>Opt-4</t>
  </si>
  <si>
    <t>Opt-6</t>
  </si>
  <si>
    <t>Opt-7</t>
  </si>
  <si>
    <t>Opt-10</t>
  </si>
  <si>
    <t>Opt-2-1</t>
  </si>
  <si>
    <t>Opt-2-4</t>
  </si>
  <si>
    <t>Opt-2-5</t>
  </si>
  <si>
    <t>Opt-2-7</t>
  </si>
  <si>
    <t>Opt-2-8</t>
  </si>
  <si>
    <t>Opt-2-10</t>
  </si>
  <si>
    <t>Propylene glycol</t>
  </si>
  <si>
    <t>R_t1</t>
  </si>
  <si>
    <t>Opt-2-Std</t>
  </si>
  <si>
    <t>Opt-4-Std</t>
  </si>
  <si>
    <t>Opt-6-Std</t>
  </si>
  <si>
    <t>Opt-7-Std</t>
  </si>
  <si>
    <t>Opt-10-Std</t>
  </si>
  <si>
    <t>Opt-2-1-Std</t>
  </si>
  <si>
    <t>Opt-2-4-Std</t>
  </si>
  <si>
    <t>Opt-2-5-Std</t>
  </si>
  <si>
    <t>Opt-2-7-Std</t>
  </si>
  <si>
    <t>Opt-2-8-Std</t>
  </si>
  <si>
    <t>Opt-2-10-Std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</si>
</sst>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vertical="center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'Release-train'!$B$2:$H$2</c:f>
              <c:numCache>
                <c:formatCode>General</c:formatCode>
                <c:ptCount val="7"/>
                <c:pt idx="0">
                  <c:v>134.15693630965262</c:v>
                </c:pt>
                <c:pt idx="1">
                  <c:v>295.66748221125511</c:v>
                </c:pt>
                <c:pt idx="2">
                  <c:v>702.56851456685195</c:v>
                </c:pt>
                <c:pt idx="3">
                  <c:v>1049.7659856775028</c:v>
                </c:pt>
                <c:pt idx="4">
                  <c:v>1314.0278164942415</c:v>
                </c:pt>
                <c:pt idx="5">
                  <c:v>1586.6921310205566</c:v>
                </c:pt>
                <c:pt idx="6">
                  <c:v>1842.9158885435809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C0-47BC-8285-91D5F23D164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'Release-train'!$B$3:$H$3</c:f>
              <c:numCache>
                <c:formatCode>General</c:formatCode>
                <c:ptCount val="7"/>
                <c:pt idx="0">
                  <c:v>155.2184253239642</c:v>
                </c:pt>
                <c:pt idx="1">
                  <c:v>317.86060207284942</c:v>
                </c:pt>
                <c:pt idx="2">
                  <c:v>693.66280307128477</c:v>
                </c:pt>
                <c:pt idx="3">
                  <c:v>1070.3519958264608</c:v>
                </c:pt>
                <c:pt idx="4">
                  <c:v>1439.1469582880986</c:v>
                </c:pt>
                <c:pt idx="5">
                  <c:v>1832.7227377170466</c:v>
                </c:pt>
                <c:pt idx="6">
                  <c:v>2082.5964452205849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C0-47BC-8285-91D5F23D164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'Release-train'!$B$4:$H$4</c:f>
              <c:numCache>
                <c:formatCode>General</c:formatCode>
                <c:ptCount val="7"/>
                <c:pt idx="0">
                  <c:v>129.38092075610854</c:v>
                </c:pt>
                <c:pt idx="1">
                  <c:v>285.57195666409194</c:v>
                </c:pt>
                <c:pt idx="2">
                  <c:v>707.17601710851545</c:v>
                </c:pt>
                <c:pt idx="3">
                  <c:v>1043.2101350453927</c:v>
                </c:pt>
                <c:pt idx="4">
                  <c:v>1309.5027388502185</c:v>
                </c:pt>
                <c:pt idx="5">
                  <c:v>1641.9107818783384</c:v>
                </c:pt>
                <c:pt idx="6">
                  <c:v>1845.6820324903026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C0-47BC-8285-91D5F23D164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'Release-train'!$B$5:$H$5</c:f>
              <c:numCache>
                <c:formatCode>General</c:formatCode>
                <c:ptCount val="7"/>
                <c:pt idx="0">
                  <c:v>128.675603633538</c:v>
                </c:pt>
                <c:pt idx="1">
                  <c:v>256.00477386160094</c:v>
                </c:pt>
                <c:pt idx="2">
                  <c:v>683.70089043564269</c:v>
                </c:pt>
                <c:pt idx="3">
                  <c:v>1083.2862596503442</c:v>
                </c:pt>
                <c:pt idx="4">
                  <c:v>1472.3284605043798</c:v>
                </c:pt>
                <c:pt idx="5">
                  <c:v>1857.2891829494881</c:v>
                </c:pt>
                <c:pt idx="6">
                  <c:v>2295.6827176731076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C0-47BC-8285-91D5F23D164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'Release-train'!$B$6:$H$6</c:f>
              <c:numCache>
                <c:formatCode>General</c:formatCode>
                <c:ptCount val="7"/>
                <c:pt idx="0">
                  <c:v>136.85797150581584</c:v>
                </c:pt>
                <c:pt idx="1">
                  <c:v>288.77620370244938</c:v>
                </c:pt>
                <c:pt idx="2">
                  <c:v>696.77705629557363</c:v>
                </c:pt>
                <c:pt idx="3">
                  <c:v>1061.6535940499252</c:v>
                </c:pt>
                <c:pt idx="4">
                  <c:v>1383.7514935342347</c:v>
                </c:pt>
                <c:pt idx="5">
                  <c:v>1729.6537083913574</c:v>
                </c:pt>
                <c:pt idx="6">
                  <c:v>2016.7192709818939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C0-47BC-8285-91D5F23D164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'Release-train'!$B$7:$H$7</c:f>
              <c:numCache>
                <c:formatCode>General</c:formatCode>
                <c:ptCount val="7"/>
                <c:pt idx="0">
                  <c:v>141.70722972507849</c:v>
                </c:pt>
                <c:pt idx="1">
                  <c:v>353.88293185708903</c:v>
                </c:pt>
                <c:pt idx="2">
                  <c:v>720.10994179782836</c:v>
                </c:pt>
                <c:pt idx="3">
                  <c:v>1060.1679966166175</c:v>
                </c:pt>
                <c:pt idx="4">
                  <c:v>1366.1314894323796</c:v>
                </c:pt>
                <c:pt idx="5">
                  <c:v>1646.8152296029832</c:v>
                </c:pt>
                <c:pt idx="6">
                  <c:v>1986.8871000413665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C0-47BC-8285-91D5F23D164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'Release-train'!$B$8:$H$8</c:f>
              <c:numCache>
                <c:formatCode>General</c:formatCode>
                <c:ptCount val="7"/>
                <c:pt idx="0">
                  <c:v>230.28789547447457</c:v>
                </c:pt>
                <c:pt idx="1">
                  <c:v>438.37153586089039</c:v>
                </c:pt>
                <c:pt idx="2">
                  <c:v>809.36982178236201</c:v>
                </c:pt>
                <c:pt idx="3">
                  <c:v>1175.9426940513561</c:v>
                </c:pt>
                <c:pt idx="4">
                  <c:v>1482.2398676029891</c:v>
                </c:pt>
                <c:pt idx="5">
                  <c:v>1778.393004041186</c:v>
                </c:pt>
                <c:pt idx="6">
                  <c:v>2044.5419390129709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C0-47BC-8285-91D5F23D164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'Release-train'!$B$9:$H$9</c:f>
              <c:numCache>
                <c:formatCode>General</c:formatCode>
                <c:ptCount val="7"/>
                <c:pt idx="0">
                  <c:v>120.28284365014565</c:v>
                </c:pt>
                <c:pt idx="1">
                  <c:v>275.07384376753851</c:v>
                </c:pt>
                <c:pt idx="2">
                  <c:v>696.48791747458813</c:v>
                </c:pt>
                <c:pt idx="3">
                  <c:v>1073.9376584769275</c:v>
                </c:pt>
                <c:pt idx="4">
                  <c:v>1333.6037652298746</c:v>
                </c:pt>
                <c:pt idx="5">
                  <c:v>1619.8208791708735</c:v>
                </c:pt>
                <c:pt idx="6">
                  <c:v>1913.1249203490643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C0-47BC-8285-91D5F23D164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'Release-train'!$B$10:$H$10</c:f>
              <c:numCache>
                <c:formatCode>General</c:formatCode>
                <c:ptCount val="7"/>
                <c:pt idx="0">
                  <c:v>148.3096914442153</c:v>
                </c:pt>
                <c:pt idx="1">
                  <c:v>312.56107645023599</c:v>
                </c:pt>
                <c:pt idx="2">
                  <c:v>749.56345776884098</c:v>
                </c:pt>
                <c:pt idx="3">
                  <c:v>1126.6104407969563</c:v>
                </c:pt>
                <c:pt idx="4">
                  <c:v>1389.9065975124131</c:v>
                </c:pt>
                <c:pt idx="5">
                  <c:v>1670.7719789660282</c:v>
                </c:pt>
                <c:pt idx="6">
                  <c:v>1965.4044397199698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C0-47BC-8285-91D5F23D164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'Release-train'!$B$11:$H$11</c:f>
              <c:numCache>
                <c:formatCode>General</c:formatCode>
                <c:ptCount val="7"/>
                <c:pt idx="0">
                  <c:v>103.34216532884602</c:v>
                </c:pt>
                <c:pt idx="1">
                  <c:v>295.90536115165133</c:v>
                </c:pt>
                <c:pt idx="2">
                  <c:v>797.76148267791166</c:v>
                </c:pt>
                <c:pt idx="3">
                  <c:v>1222.6072286088163</c:v>
                </c:pt>
                <c:pt idx="4">
                  <c:v>1663.8220171400624</c:v>
                </c:pt>
                <c:pt idx="5">
                  <c:v>2149.9421888444358</c:v>
                </c:pt>
                <c:pt idx="6">
                  <c:v>2527.3139375496403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FC0-47BC-8285-91D5F23D1648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'Release-train'!$B$12:$H$12</c:f>
              <c:numCache>
                <c:formatCode>General</c:formatCode>
                <c:ptCount val="7"/>
                <c:pt idx="0">
                  <c:v>125.3695364380734</c:v>
                </c:pt>
                <c:pt idx="1">
                  <c:v>295.97780921406257</c:v>
                </c:pt>
                <c:pt idx="2">
                  <c:v>667.34455161347557</c:v>
                </c:pt>
                <c:pt idx="3">
                  <c:v>1038.7916540307394</c:v>
                </c:pt>
                <c:pt idx="4">
                  <c:v>1352.9741960942113</c:v>
                </c:pt>
                <c:pt idx="5">
                  <c:v>1668.5630736353603</c:v>
                </c:pt>
                <c:pt idx="6">
                  <c:v>1966.1088230642242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C0-47BC-8285-91D5F23D1648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'Release-train'!$B$13:$H$13</c:f>
              <c:numCache>
                <c:formatCode>General</c:formatCode>
                <c:ptCount val="7"/>
                <c:pt idx="0">
                  <c:v>110.28277652891136</c:v>
                </c:pt>
                <c:pt idx="1">
                  <c:v>241.48138282013252</c:v>
                </c:pt>
                <c:pt idx="2">
                  <c:v>616.88885053237323</c:v>
                </c:pt>
                <c:pt idx="3">
                  <c:v>955.73109370665566</c:v>
                </c:pt>
                <c:pt idx="4">
                  <c:v>1288.9265110794638</c:v>
                </c:pt>
                <c:pt idx="5">
                  <c:v>1576.4642694997949</c:v>
                </c:pt>
                <c:pt idx="6">
                  <c:v>1820.9491668089763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FC0-47BC-8285-91D5F23D1648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'Release-train'!$B$14:$H$14</c:f>
              <c:numCache>
                <c:formatCode>General</c:formatCode>
                <c:ptCount val="7"/>
                <c:pt idx="0">
                  <c:v>131.58406604056546</c:v>
                </c:pt>
                <c:pt idx="1">
                  <c:v>304.98521992748232</c:v>
                </c:pt>
                <c:pt idx="2">
                  <c:v>813.46181497819316</c:v>
                </c:pt>
                <c:pt idx="3">
                  <c:v>1230.8917187948712</c:v>
                </c:pt>
                <c:pt idx="4">
                  <c:v>1628.028346267499</c:v>
                </c:pt>
                <c:pt idx="5">
                  <c:v>2039.5037694638474</c:v>
                </c:pt>
                <c:pt idx="6">
                  <c:v>2279.7382173637438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C0-47BC-8285-91D5F23D1648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'Release-train'!$B$15:$H$15</c:f>
              <c:numCache>
                <c:formatCode>General</c:formatCode>
                <c:ptCount val="7"/>
                <c:pt idx="0">
                  <c:v>74.483813499945029</c:v>
                </c:pt>
                <c:pt idx="1">
                  <c:v>218.49834599070701</c:v>
                </c:pt>
                <c:pt idx="2">
                  <c:v>686.03914866777984</c:v>
                </c:pt>
                <c:pt idx="3">
                  <c:v>988.64187780356463</c:v>
                </c:pt>
                <c:pt idx="4">
                  <c:v>1315.7262076232382</c:v>
                </c:pt>
                <c:pt idx="5">
                  <c:v>1645.2057486607271</c:v>
                </c:pt>
                <c:pt idx="6">
                  <c:v>1882.9579521221331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FC0-47BC-8285-91D5F23D1648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'Release-train'!$B$16:$H$16</c:f>
              <c:numCache>
                <c:formatCode>General</c:formatCode>
                <c:ptCount val="7"/>
                <c:pt idx="0">
                  <c:v>151.68530344491455</c:v>
                </c:pt>
                <c:pt idx="1">
                  <c:v>288.38716646317761</c:v>
                </c:pt>
                <c:pt idx="2">
                  <c:v>733.95808295225208</c:v>
                </c:pt>
                <c:pt idx="3">
                  <c:v>1130.3800910710388</c:v>
                </c:pt>
                <c:pt idx="4">
                  <c:v>1469.4911543461446</c:v>
                </c:pt>
                <c:pt idx="5">
                  <c:v>1845.5575047331279</c:v>
                </c:pt>
                <c:pt idx="6">
                  <c:v>2023.4629109534023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FC0-47BC-8285-91D5F23D1648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'Release-train'!$B$17:$H$17</c:f>
              <c:numCache>
                <c:formatCode>General</c:formatCode>
                <c:ptCount val="7"/>
                <c:pt idx="0">
                  <c:v>178.20818060763978</c:v>
                </c:pt>
                <c:pt idx="1">
                  <c:v>418.73080772052481</c:v>
                </c:pt>
                <c:pt idx="2">
                  <c:v>933.84962327271626</c:v>
                </c:pt>
                <c:pt idx="3">
                  <c:v>1395.4619108343177</c:v>
                </c:pt>
                <c:pt idx="4">
                  <c:v>1854.1935510875076</c:v>
                </c:pt>
                <c:pt idx="5">
                  <c:v>2255.4789039318584</c:v>
                </c:pt>
                <c:pt idx="6">
                  <c:v>2668.9226092268832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FC0-47BC-8285-91D5F23D1648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'Release-train'!$B$18:$H$18</c:f>
              <c:numCache>
                <c:formatCode>General</c:formatCode>
                <c:ptCount val="7"/>
                <c:pt idx="0">
                  <c:v>185.99180025903954</c:v>
                </c:pt>
                <c:pt idx="1">
                  <c:v>399.43594901115921</c:v>
                </c:pt>
                <c:pt idx="2">
                  <c:v>886.65517609420567</c:v>
                </c:pt>
                <c:pt idx="3">
                  <c:v>1352.1616450222004</c:v>
                </c:pt>
                <c:pt idx="4">
                  <c:v>1844.1960382180175</c:v>
                </c:pt>
                <c:pt idx="5">
                  <c:v>2195.3349993083852</c:v>
                </c:pt>
                <c:pt idx="6">
                  <c:v>2584.3181040261829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FC0-47BC-8285-91D5F23D1648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'Release-train'!$B$19:$H$19</c:f>
              <c:numCache>
                <c:formatCode>General</c:formatCode>
                <c:ptCount val="7"/>
                <c:pt idx="0">
                  <c:v>170.73339390465418</c:v>
                </c:pt>
                <c:pt idx="1">
                  <c:v>433.41519262476021</c:v>
                </c:pt>
                <c:pt idx="2">
                  <c:v>854.4769211836898</c:v>
                </c:pt>
                <c:pt idx="3">
                  <c:v>1320.314250640768</c:v>
                </c:pt>
                <c:pt idx="4">
                  <c:v>1799.5979400905849</c:v>
                </c:pt>
                <c:pt idx="5">
                  <c:v>2280.6632962272133</c:v>
                </c:pt>
                <c:pt idx="6">
                  <c:v>2705.3571303612052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FC0-47BC-8285-91D5F23D1648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'Release-train'!$B$20:$H$20</c:f>
              <c:numCache>
                <c:formatCode>General</c:formatCode>
                <c:ptCount val="7"/>
                <c:pt idx="0">
                  <c:v>171.83335037719999</c:v>
                </c:pt>
                <c:pt idx="1">
                  <c:v>402.99849897150887</c:v>
                </c:pt>
                <c:pt idx="2">
                  <c:v>851.54420346177562</c:v>
                </c:pt>
                <c:pt idx="3">
                  <c:v>1310.4940691485417</c:v>
                </c:pt>
                <c:pt idx="4">
                  <c:v>1773.0249448412189</c:v>
                </c:pt>
                <c:pt idx="5">
                  <c:v>2208.1314050162505</c:v>
                </c:pt>
                <c:pt idx="6">
                  <c:v>2643.8865042211705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FC0-47BC-8285-91D5F23D1648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'Release-train'!$B$21:$H$21</c:f>
              <c:numCache>
                <c:formatCode>General</c:formatCode>
                <c:ptCount val="7"/>
                <c:pt idx="0">
                  <c:v>172.84921396690351</c:v>
                </c:pt>
                <c:pt idx="1">
                  <c:v>294.4281211120724</c:v>
                </c:pt>
                <c:pt idx="2">
                  <c:v>660.09642349398507</c:v>
                </c:pt>
                <c:pt idx="3">
                  <c:v>983.66931495068036</c:v>
                </c:pt>
                <c:pt idx="4">
                  <c:v>1348.8722790709294</c:v>
                </c:pt>
                <c:pt idx="5">
                  <c:v>1678.0066287439495</c:v>
                </c:pt>
                <c:pt idx="6">
                  <c:v>2034.6650367030652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FC0-47BC-8285-91D5F23D1648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'Release-train'!$B$22:$H$22</c:f>
              <c:numCache>
                <c:formatCode>General</c:formatCode>
                <c:ptCount val="7"/>
                <c:pt idx="0">
                  <c:v>83.654909917253036</c:v>
                </c:pt>
                <c:pt idx="1">
                  <c:v>432.59691877708968</c:v>
                </c:pt>
                <c:pt idx="2">
                  <c:v>842.115078104075</c:v>
                </c:pt>
                <c:pt idx="3">
                  <c:v>1269.4876706526707</c:v>
                </c:pt>
                <c:pt idx="4">
                  <c:v>1736.2001161911921</c:v>
                </c:pt>
                <c:pt idx="5">
                  <c:v>2217.6335303307237</c:v>
                </c:pt>
                <c:pt idx="6">
                  <c:v>2550.2516518600128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FC0-47BC-8285-91D5F23D1648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'Release-train'!$B$23:$H$23</c:f>
              <c:numCache>
                <c:formatCode>General</c:formatCode>
                <c:ptCount val="7"/>
                <c:pt idx="0">
                  <c:v>85.723217658300584</c:v>
                </c:pt>
                <c:pt idx="1">
                  <c:v>250.62832140465844</c:v>
                </c:pt>
                <c:pt idx="2">
                  <c:v>592.04640423113472</c:v>
                </c:pt>
                <c:pt idx="3">
                  <c:v>942.82468908134422</c:v>
                </c:pt>
                <c:pt idx="4">
                  <c:v>1264.4485840432001</c:v>
                </c:pt>
                <c:pt idx="5">
                  <c:v>1630.3413683707399</c:v>
                </c:pt>
                <c:pt idx="6">
                  <c:v>2005.4015880648101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FC0-47BC-8285-91D5F23D1648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'Release-train'!$B$24:$H$24</c:f>
              <c:numCache>
                <c:formatCode>General</c:formatCode>
                <c:ptCount val="7"/>
                <c:pt idx="0">
                  <c:v>73.30105037357518</c:v>
                </c:pt>
                <c:pt idx="1">
                  <c:v>243.353927415177</c:v>
                </c:pt>
                <c:pt idx="2">
                  <c:v>646.03978281409206</c:v>
                </c:pt>
                <c:pt idx="3">
                  <c:v>1037.2357720510822</c:v>
                </c:pt>
                <c:pt idx="4">
                  <c:v>1428.4501021907522</c:v>
                </c:pt>
                <c:pt idx="5">
                  <c:v>1824.2375628328646</c:v>
                </c:pt>
                <c:pt idx="6">
                  <c:v>2181.3841269950904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FC0-47BC-8285-91D5F23D1648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'Release-train'!$B$25:$H$25</c:f>
              <c:numCache>
                <c:formatCode>General</c:formatCode>
                <c:ptCount val="7"/>
                <c:pt idx="0">
                  <c:v>87.597546053456497</c:v>
                </c:pt>
                <c:pt idx="1">
                  <c:v>254.07401340984515</c:v>
                </c:pt>
                <c:pt idx="2">
                  <c:v>604.46494929284756</c:v>
                </c:pt>
                <c:pt idx="3">
                  <c:v>985.04507101268337</c:v>
                </c:pt>
                <c:pt idx="4">
                  <c:v>1355.4320264904284</c:v>
                </c:pt>
                <c:pt idx="5">
                  <c:v>1718.8367990922068</c:v>
                </c:pt>
                <c:pt idx="6">
                  <c:v>2074.6665262686915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FC0-47BC-8285-91D5F23D1648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'Release-train'!$B$26:$H$26</c:f>
              <c:numCache>
                <c:formatCode>General</c:formatCode>
                <c:ptCount val="7"/>
                <c:pt idx="0">
                  <c:v>89.090892422813667</c:v>
                </c:pt>
                <c:pt idx="1">
                  <c:v>228.43682062643347</c:v>
                </c:pt>
                <c:pt idx="2">
                  <c:v>586.09048965770251</c:v>
                </c:pt>
                <c:pt idx="3">
                  <c:v>949.30785908980465</c:v>
                </c:pt>
                <c:pt idx="4">
                  <c:v>1370.3229658248624</c:v>
                </c:pt>
                <c:pt idx="5">
                  <c:v>1829.4560857074</c:v>
                </c:pt>
                <c:pt idx="6">
                  <c:v>2158.75607469123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FC0-47BC-8285-91D5F23D1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2403135"/>
        <c:axId val="1302399775"/>
      </c:lineChart>
      <c:catAx>
        <c:axId val="1302403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399775"/>
        <c:crosses val="autoZero"/>
        <c:auto val="1"/>
        <c:lblAlgn val="ctr"/>
        <c:lblOffset val="100"/>
        <c:noMultiLvlLbl val="0"/>
      </c:catAx>
      <c:valAx>
        <c:axId val="130239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40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422413</xdr:colOff>
      <xdr:row>9</xdr:row>
      <xdr:rowOff>69573</xdr:rowOff>
    </xdr:from>
    <xdr:to>
      <xdr:col>16</xdr:col>
      <xdr:colOff>91108</xdr:colOff>
      <xdr:row>24</xdr:row>
      <xdr:rowOff>79513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CDCD26-BF07-F5A2-452E-9E3AD7181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="115" zoomScaleNormal="115" workbookViewId="0">
      <selection activeCell="G25" sqref="G25"/>
    </sheetView>
  </sheetViews>
  <sheetFormatPr defaultRowHeight="14.5"/>
  <cols>
    <col min="2" max="2" width="14.453125" style="2" bestFit="1" customWidth="1"/>
    <col min="3" max="3" width="17.1796875" style="2" bestFit="1" customWidth="1"/>
    <col min="4" max="4" width="20.453125" style="2" bestFit="1" customWidth="1"/>
  </cols>
  <sheetData>
    <row r="1" spans="1:4">
      <c r="A1" t="s">
        <v>0</v>
      </c>
      <c r="B1" s="2" t="s">
        <v>32</v>
      </c>
      <c r="C1" s="2" t="s">
        <v>33</v>
      </c>
      <c r="D1" s="2" t="s">
        <v>45</v>
      </c>
    </row>
    <row r="2" spans="1:4">
      <c r="A2" t="s">
        <v>1</v>
      </c>
      <c r="B2" s="3">
        <v>30</v>
      </c>
      <c r="C2" s="3">
        <v>20</v>
      </c>
      <c r="D2" s="3">
        <v>15</v>
      </c>
    </row>
    <row r="3" spans="1:4">
      <c r="A3" t="s">
        <v>2</v>
      </c>
      <c r="B3" s="3">
        <v>30</v>
      </c>
      <c r="C3" s="3">
        <v>15</v>
      </c>
      <c r="D3" s="3">
        <v>10</v>
      </c>
    </row>
    <row r="4" spans="1:4">
      <c r="A4" t="s">
        <v>3</v>
      </c>
      <c r="B4" s="3">
        <v>25</v>
      </c>
      <c r="C4" s="3">
        <v>20</v>
      </c>
      <c r="D4" s="3">
        <v>20</v>
      </c>
    </row>
    <row r="5" spans="1:4">
      <c r="A5" t="s">
        <v>4</v>
      </c>
      <c r="B5" s="3">
        <v>25</v>
      </c>
      <c r="C5" s="3">
        <v>15</v>
      </c>
      <c r="D5" s="3">
        <v>15</v>
      </c>
    </row>
    <row r="6" spans="1:4">
      <c r="A6" t="s">
        <v>5</v>
      </c>
      <c r="B6" s="3">
        <v>25</v>
      </c>
      <c r="C6" s="3">
        <v>10</v>
      </c>
      <c r="D6" s="3">
        <v>20</v>
      </c>
    </row>
    <row r="7" spans="1:4">
      <c r="A7" t="s">
        <v>6</v>
      </c>
      <c r="B7" s="3">
        <v>25</v>
      </c>
      <c r="C7" s="3">
        <v>20</v>
      </c>
      <c r="D7" s="3">
        <v>10</v>
      </c>
    </row>
    <row r="8" spans="1:4">
      <c r="A8" t="s">
        <v>7</v>
      </c>
      <c r="B8" s="3">
        <v>20</v>
      </c>
      <c r="C8" s="3">
        <v>20</v>
      </c>
      <c r="D8" s="3">
        <v>15</v>
      </c>
    </row>
    <row r="9" spans="1:4">
      <c r="A9" t="s">
        <v>8</v>
      </c>
      <c r="B9" s="3">
        <v>30</v>
      </c>
      <c r="C9" s="3">
        <v>10</v>
      </c>
      <c r="D9" s="3">
        <v>15</v>
      </c>
    </row>
    <row r="10" spans="1:4">
      <c r="A10" t="s">
        <v>9</v>
      </c>
      <c r="B10" s="3">
        <v>20</v>
      </c>
      <c r="C10" s="3">
        <v>15</v>
      </c>
      <c r="D10" s="3">
        <v>10</v>
      </c>
    </row>
    <row r="11" spans="1:4">
      <c r="A11" t="s">
        <v>10</v>
      </c>
      <c r="B11" s="3">
        <v>25</v>
      </c>
      <c r="C11" s="3">
        <v>10</v>
      </c>
      <c r="D11" s="3">
        <v>10</v>
      </c>
    </row>
    <row r="12" spans="1:4">
      <c r="A12" t="s">
        <v>11</v>
      </c>
      <c r="B12" s="3">
        <v>20</v>
      </c>
      <c r="C12" s="3">
        <v>15</v>
      </c>
      <c r="D12" s="3">
        <v>20</v>
      </c>
    </row>
    <row r="13" spans="1:4">
      <c r="A13" t="s">
        <v>12</v>
      </c>
      <c r="B13" s="3">
        <v>30</v>
      </c>
      <c r="C13" s="3">
        <v>15</v>
      </c>
      <c r="D13" s="3">
        <v>20</v>
      </c>
    </row>
    <row r="14" spans="1:4">
      <c r="A14" t="s">
        <v>13</v>
      </c>
      <c r="B14" s="3">
        <v>20</v>
      </c>
      <c r="C14" s="3">
        <v>10</v>
      </c>
      <c r="D14" s="3">
        <v>15</v>
      </c>
    </row>
    <row r="15" spans="1:4">
      <c r="A15" t="s">
        <v>14</v>
      </c>
      <c r="B15" s="3">
        <v>25</v>
      </c>
      <c r="C15" s="3">
        <v>15</v>
      </c>
      <c r="D15" s="3">
        <v>15</v>
      </c>
    </row>
    <row r="16" spans="1:4">
      <c r="A16" t="s">
        <v>15</v>
      </c>
      <c r="B16" s="3">
        <v>25</v>
      </c>
      <c r="C16" s="3">
        <v>15</v>
      </c>
      <c r="D16" s="3">
        <v>15</v>
      </c>
    </row>
    <row r="17" spans="1:4">
      <c r="A17" s="8" t="s">
        <v>16</v>
      </c>
      <c r="B17" s="3">
        <v>21</v>
      </c>
      <c r="C17" s="4">
        <v>16.600000000000001</v>
      </c>
      <c r="D17" s="4">
        <v>17.3</v>
      </c>
    </row>
    <row r="18" spans="1:4">
      <c r="A18" s="8" t="s">
        <v>17</v>
      </c>
      <c r="B18" s="4">
        <v>21.3</v>
      </c>
      <c r="C18" s="3">
        <v>20</v>
      </c>
      <c r="D18" s="4">
        <v>10.6</v>
      </c>
    </row>
    <row r="19" spans="1:4">
      <c r="A19" s="8" t="s">
        <v>18</v>
      </c>
      <c r="B19" s="4">
        <v>22.7</v>
      </c>
      <c r="C19" s="4">
        <v>14.4</v>
      </c>
      <c r="D19" s="3">
        <v>16</v>
      </c>
    </row>
    <row r="20" spans="1:4">
      <c r="A20" s="8" t="s">
        <v>19</v>
      </c>
      <c r="B20" s="4">
        <v>23.5</v>
      </c>
      <c r="C20" s="4">
        <v>17.899999999999999</v>
      </c>
      <c r="D20" s="4">
        <v>18.100000000000001</v>
      </c>
    </row>
    <row r="21" spans="1:4">
      <c r="A21" s="8" t="s">
        <v>20</v>
      </c>
      <c r="B21" s="4">
        <v>24.3</v>
      </c>
      <c r="C21" s="4">
        <v>13.1</v>
      </c>
      <c r="D21" s="4">
        <v>11.9</v>
      </c>
    </row>
    <row r="22" spans="1:4">
      <c r="A22" s="8" t="s">
        <v>21</v>
      </c>
      <c r="B22" s="4">
        <v>25.5</v>
      </c>
      <c r="C22" s="4">
        <v>10.1</v>
      </c>
      <c r="D22" s="4">
        <v>14.8</v>
      </c>
    </row>
    <row r="23" spans="1:4">
      <c r="A23" s="8" t="s">
        <v>22</v>
      </c>
      <c r="B23" s="4">
        <v>26.6</v>
      </c>
      <c r="C23" s="4">
        <v>11.6</v>
      </c>
      <c r="D23" s="4">
        <v>16.8</v>
      </c>
    </row>
    <row r="24" spans="1:4">
      <c r="A24" s="8" t="s">
        <v>23</v>
      </c>
      <c r="B24" s="4">
        <v>27.2</v>
      </c>
      <c r="C24" s="4">
        <v>18.7</v>
      </c>
      <c r="D24" s="4">
        <v>13.1</v>
      </c>
    </row>
    <row r="25" spans="1:4">
      <c r="A25" s="8" t="s">
        <v>24</v>
      </c>
      <c r="B25" s="4">
        <v>28.3</v>
      </c>
      <c r="C25" s="4">
        <v>15.5</v>
      </c>
      <c r="D25" s="4">
        <v>12.7</v>
      </c>
    </row>
    <row r="26" spans="1:4">
      <c r="A26" s="5" t="s">
        <v>25</v>
      </c>
      <c r="B26" s="4">
        <v>29.2</v>
      </c>
      <c r="C26" s="4">
        <v>12.9</v>
      </c>
      <c r="D26" s="4">
        <v>19.600000000000001</v>
      </c>
    </row>
    <row r="27" spans="1:4">
      <c r="A27" s="5" t="s">
        <v>34</v>
      </c>
      <c r="B27" s="4">
        <v>20</v>
      </c>
      <c r="C27" s="4">
        <v>19.989999999999998</v>
      </c>
      <c r="D27" s="4">
        <v>19.989999999999998</v>
      </c>
    </row>
    <row r="28" spans="1:4">
      <c r="A28" s="5" t="s">
        <v>35</v>
      </c>
      <c r="B28" s="4">
        <v>29.78</v>
      </c>
      <c r="C28" s="4">
        <v>19.95</v>
      </c>
      <c r="D28" s="4">
        <v>19.93</v>
      </c>
    </row>
    <row r="29" spans="1:4">
      <c r="A29" s="5" t="s">
        <v>36</v>
      </c>
      <c r="B29" s="4">
        <v>20</v>
      </c>
      <c r="C29" s="4">
        <v>13.65</v>
      </c>
      <c r="D29" s="4">
        <v>19.97</v>
      </c>
    </row>
    <row r="30" spans="1:4">
      <c r="A30" s="5" t="s">
        <v>37</v>
      </c>
      <c r="B30" s="4">
        <v>20</v>
      </c>
      <c r="C30" s="4">
        <v>11.5</v>
      </c>
      <c r="D30" s="4">
        <v>19.98</v>
      </c>
    </row>
    <row r="31" spans="1:4">
      <c r="A31" s="5" t="s">
        <v>38</v>
      </c>
      <c r="B31" s="4">
        <v>28.44</v>
      </c>
      <c r="C31" s="4">
        <v>19.95</v>
      </c>
      <c r="D31" s="4">
        <v>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4827-3DA3-4C6B-8B20-5DB7BB0AA776}">
  <dimension ref="A1:I31"/>
  <sheetViews>
    <sheetView zoomScale="115" zoomScaleNormal="115" workbookViewId="0">
      <selection activeCell="I34" sqref="I34"/>
    </sheetView>
  </sheetViews>
  <sheetFormatPr defaultRowHeight="14.5"/>
  <cols>
    <col min="2" max="2" width="9.7265625" customWidth="1"/>
    <col min="3" max="3" width="9.453125" customWidth="1"/>
  </cols>
  <sheetData>
    <row r="1" spans="1:9">
      <c r="A1" t="s">
        <v>0</v>
      </c>
      <c r="B1" t="s">
        <v>46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9">
      <c r="A2" t="s">
        <v>1</v>
      </c>
      <c r="B2">
        <v>134.15693630965262</v>
      </c>
      <c r="C2">
        <v>295.66748221125511</v>
      </c>
      <c r="D2">
        <v>702.56851456685195</v>
      </c>
      <c r="E2">
        <v>1049.7659856775028</v>
      </c>
      <c r="F2">
        <v>1314.0278164942415</v>
      </c>
      <c r="G2">
        <v>1586.6921310205566</v>
      </c>
      <c r="H2">
        <v>1842.9158885435809</v>
      </c>
    </row>
    <row r="3" spans="1:9">
      <c r="A3" t="s">
        <v>2</v>
      </c>
      <c r="B3">
        <v>155.2184253239642</v>
      </c>
      <c r="C3">
        <v>317.86060207284942</v>
      </c>
      <c r="D3">
        <v>693.66280307128477</v>
      </c>
      <c r="E3">
        <v>1070.3519958264608</v>
      </c>
      <c r="F3">
        <v>1439.1469582880986</v>
      </c>
      <c r="G3">
        <v>1832.7227377170466</v>
      </c>
      <c r="H3">
        <v>2082.5964452205849</v>
      </c>
    </row>
    <row r="4" spans="1:9">
      <c r="A4" t="s">
        <v>3</v>
      </c>
      <c r="B4">
        <v>129.38092075610854</v>
      </c>
      <c r="C4">
        <v>285.57195666409194</v>
      </c>
      <c r="D4">
        <v>707.17601710851545</v>
      </c>
      <c r="E4">
        <v>1043.2101350453927</v>
      </c>
      <c r="F4">
        <v>1309.5027388502185</v>
      </c>
      <c r="G4">
        <v>1641.9107818783384</v>
      </c>
      <c r="H4">
        <v>1845.6820324903026</v>
      </c>
    </row>
    <row r="5" spans="1:9">
      <c r="A5" t="s">
        <v>4</v>
      </c>
      <c r="B5">
        <v>128.675603633538</v>
      </c>
      <c r="C5">
        <v>256.00477386160094</v>
      </c>
      <c r="D5">
        <v>683.70089043564269</v>
      </c>
      <c r="E5">
        <v>1083.2862596503442</v>
      </c>
      <c r="F5">
        <v>1472.3284605043798</v>
      </c>
      <c r="G5">
        <v>1857.2891829494881</v>
      </c>
      <c r="H5">
        <v>2295.6827176731076</v>
      </c>
    </row>
    <row r="6" spans="1:9">
      <c r="A6" t="s">
        <v>5</v>
      </c>
      <c r="B6" s="1">
        <f t="shared" ref="B6:H6" si="0">AVERAGE(B2:B5)</f>
        <v>136.85797150581584</v>
      </c>
      <c r="C6" s="1">
        <f t="shared" si="0"/>
        <v>288.77620370244938</v>
      </c>
      <c r="D6" s="1">
        <f t="shared" si="0"/>
        <v>696.77705629557363</v>
      </c>
      <c r="E6" s="1">
        <f t="shared" si="0"/>
        <v>1061.6535940499252</v>
      </c>
      <c r="F6" s="1">
        <f t="shared" si="0"/>
        <v>1383.7514935342347</v>
      </c>
      <c r="G6" s="1">
        <f t="shared" si="0"/>
        <v>1729.6537083913574</v>
      </c>
      <c r="H6" s="1">
        <f t="shared" si="0"/>
        <v>2016.7192709818939</v>
      </c>
      <c r="I6" s="1"/>
    </row>
    <row r="7" spans="1:9">
      <c r="A7" t="s">
        <v>6</v>
      </c>
      <c r="B7">
        <v>141.70722972507849</v>
      </c>
      <c r="C7">
        <v>353.88293185708903</v>
      </c>
      <c r="D7">
        <v>720.10994179782836</v>
      </c>
      <c r="E7">
        <v>1060.1679966166175</v>
      </c>
      <c r="F7">
        <v>1366.1314894323796</v>
      </c>
      <c r="G7">
        <v>1646.8152296029832</v>
      </c>
      <c r="H7">
        <v>1986.8871000413665</v>
      </c>
    </row>
    <row r="8" spans="1:9">
      <c r="A8" t="s">
        <v>7</v>
      </c>
      <c r="B8">
        <v>230.28789547447457</v>
      </c>
      <c r="C8">
        <v>438.37153586089039</v>
      </c>
      <c r="D8">
        <v>809.36982178236201</v>
      </c>
      <c r="E8">
        <v>1175.9426940513561</v>
      </c>
      <c r="F8">
        <v>1482.2398676029891</v>
      </c>
      <c r="G8">
        <v>1778.393004041186</v>
      </c>
      <c r="H8">
        <v>2044.5419390129709</v>
      </c>
    </row>
    <row r="9" spans="1:9">
      <c r="A9" t="s">
        <v>8</v>
      </c>
      <c r="B9">
        <v>120.28284365014565</v>
      </c>
      <c r="C9">
        <v>275.07384376753851</v>
      </c>
      <c r="D9">
        <v>696.48791747458813</v>
      </c>
      <c r="E9">
        <v>1073.9376584769275</v>
      </c>
      <c r="F9">
        <v>1333.6037652298746</v>
      </c>
      <c r="G9">
        <v>1619.8208791708735</v>
      </c>
      <c r="H9">
        <v>1913.1249203490643</v>
      </c>
    </row>
    <row r="10" spans="1:9">
      <c r="A10" t="s">
        <v>9</v>
      </c>
      <c r="B10">
        <v>148.3096914442153</v>
      </c>
      <c r="C10">
        <v>312.56107645023599</v>
      </c>
      <c r="D10">
        <v>749.56345776884098</v>
      </c>
      <c r="E10">
        <v>1126.6104407969563</v>
      </c>
      <c r="F10">
        <v>1389.9065975124131</v>
      </c>
      <c r="G10">
        <v>1670.7719789660282</v>
      </c>
      <c r="H10">
        <v>1965.4044397199698</v>
      </c>
    </row>
    <row r="11" spans="1:9">
      <c r="A11" t="s">
        <v>10</v>
      </c>
      <c r="B11">
        <v>103.34216532884602</v>
      </c>
      <c r="C11">
        <v>295.90536115165133</v>
      </c>
      <c r="D11">
        <v>797.76148267791166</v>
      </c>
      <c r="E11">
        <v>1222.6072286088163</v>
      </c>
      <c r="F11">
        <v>1663.8220171400624</v>
      </c>
      <c r="G11">
        <v>2149.9421888444358</v>
      </c>
      <c r="H11">
        <v>2527.3139375496403</v>
      </c>
    </row>
    <row r="12" spans="1:9">
      <c r="A12" t="s">
        <v>11</v>
      </c>
      <c r="B12">
        <v>125.3695364380734</v>
      </c>
      <c r="C12">
        <v>295.97780921406257</v>
      </c>
      <c r="D12">
        <v>667.34455161347557</v>
      </c>
      <c r="E12">
        <v>1038.7916540307394</v>
      </c>
      <c r="F12">
        <v>1352.9741960942113</v>
      </c>
      <c r="G12">
        <v>1668.5630736353603</v>
      </c>
      <c r="H12">
        <v>1966.1088230642242</v>
      </c>
    </row>
    <row r="13" spans="1:9">
      <c r="A13" t="s">
        <v>12</v>
      </c>
      <c r="B13">
        <v>110.28277652891136</v>
      </c>
      <c r="C13">
        <v>241.48138282013252</v>
      </c>
      <c r="D13">
        <v>616.88885053237323</v>
      </c>
      <c r="E13">
        <v>955.73109370665566</v>
      </c>
      <c r="F13">
        <v>1288.9265110794638</v>
      </c>
      <c r="G13">
        <v>1576.4642694997949</v>
      </c>
      <c r="H13">
        <v>1820.9491668089763</v>
      </c>
    </row>
    <row r="14" spans="1:9">
      <c r="A14" t="s">
        <v>13</v>
      </c>
      <c r="B14">
        <v>131.58406604056546</v>
      </c>
      <c r="C14">
        <v>304.98521992748232</v>
      </c>
      <c r="D14">
        <v>813.46181497819316</v>
      </c>
      <c r="E14">
        <v>1230.8917187948712</v>
      </c>
      <c r="F14">
        <v>1628.028346267499</v>
      </c>
      <c r="G14">
        <v>2039.5037694638474</v>
      </c>
      <c r="H14">
        <v>2279.7382173637438</v>
      </c>
    </row>
    <row r="15" spans="1:9">
      <c r="A15" t="s">
        <v>14</v>
      </c>
      <c r="B15">
        <v>74.483813499945029</v>
      </c>
      <c r="C15">
        <v>218.49834599070701</v>
      </c>
      <c r="D15">
        <v>686.03914866777984</v>
      </c>
      <c r="E15">
        <v>988.64187780356463</v>
      </c>
      <c r="F15">
        <v>1315.7262076232382</v>
      </c>
      <c r="G15">
        <v>1645.2057486607271</v>
      </c>
      <c r="H15">
        <v>1882.9579521221331</v>
      </c>
    </row>
    <row r="16" spans="1:9">
      <c r="A16" t="s">
        <v>15</v>
      </c>
      <c r="B16">
        <v>151.68530344491455</v>
      </c>
      <c r="C16">
        <v>288.38716646317761</v>
      </c>
      <c r="D16">
        <v>733.95808295225208</v>
      </c>
      <c r="E16">
        <v>1130.3800910710388</v>
      </c>
      <c r="F16">
        <v>1469.4911543461446</v>
      </c>
      <c r="G16">
        <v>1845.5575047331279</v>
      </c>
      <c r="H16">
        <v>2023.4629109534023</v>
      </c>
    </row>
    <row r="17" spans="1:8" s="7" customFormat="1">
      <c r="A17" s="8" t="s">
        <v>16</v>
      </c>
      <c r="B17" s="7">
        <v>178.20818060763978</v>
      </c>
      <c r="C17" s="7">
        <v>418.73080772052481</v>
      </c>
      <c r="D17" s="7">
        <v>933.84962327271626</v>
      </c>
      <c r="E17" s="7">
        <v>1395.4619108343177</v>
      </c>
      <c r="F17" s="7">
        <v>1854.1935510875076</v>
      </c>
      <c r="G17" s="7">
        <v>2255.4789039318584</v>
      </c>
      <c r="H17" s="7">
        <v>2668.9226092268832</v>
      </c>
    </row>
    <row r="18" spans="1:8">
      <c r="A18" s="8" t="s">
        <v>17</v>
      </c>
      <c r="B18">
        <v>185.99180025903954</v>
      </c>
      <c r="C18">
        <v>399.43594901115921</v>
      </c>
      <c r="D18">
        <v>886.65517609420567</v>
      </c>
      <c r="E18">
        <v>1352.1616450222004</v>
      </c>
      <c r="F18">
        <v>1844.1960382180175</v>
      </c>
      <c r="G18">
        <v>2195.3349993083852</v>
      </c>
      <c r="H18">
        <v>2584.3181040261829</v>
      </c>
    </row>
    <row r="19" spans="1:8">
      <c r="A19" s="8" t="s">
        <v>18</v>
      </c>
      <c r="B19">
        <v>170.73339390465418</v>
      </c>
      <c r="C19">
        <v>433.41519262476021</v>
      </c>
      <c r="D19">
        <v>854.4769211836898</v>
      </c>
      <c r="E19">
        <v>1320.314250640768</v>
      </c>
      <c r="F19">
        <v>1799.5979400905849</v>
      </c>
      <c r="G19">
        <v>2280.6632962272133</v>
      </c>
      <c r="H19">
        <v>2705.3571303612052</v>
      </c>
    </row>
    <row r="20" spans="1:8">
      <c r="A20" s="8" t="s">
        <v>19</v>
      </c>
      <c r="B20">
        <v>171.83335037719999</v>
      </c>
      <c r="C20">
        <v>402.99849897150887</v>
      </c>
      <c r="D20">
        <v>851.54420346177562</v>
      </c>
      <c r="E20">
        <v>1310.4940691485417</v>
      </c>
      <c r="F20">
        <v>1773.0249448412189</v>
      </c>
      <c r="G20">
        <v>2208.1314050162505</v>
      </c>
      <c r="H20">
        <v>2643.8865042211705</v>
      </c>
    </row>
    <row r="21" spans="1:8">
      <c r="A21" s="8" t="s">
        <v>20</v>
      </c>
      <c r="B21">
        <v>172.84921396690351</v>
      </c>
      <c r="C21">
        <v>294.4281211120724</v>
      </c>
      <c r="D21">
        <v>660.09642349398507</v>
      </c>
      <c r="E21">
        <v>983.66931495068036</v>
      </c>
      <c r="F21">
        <v>1348.8722790709294</v>
      </c>
      <c r="G21">
        <v>1678.0066287439495</v>
      </c>
      <c r="H21">
        <v>2034.6650367030652</v>
      </c>
    </row>
    <row r="22" spans="1:8">
      <c r="A22" s="8" t="s">
        <v>21</v>
      </c>
      <c r="B22">
        <v>83.654909917253036</v>
      </c>
      <c r="C22">
        <v>432.59691877708968</v>
      </c>
      <c r="D22">
        <v>842.115078104075</v>
      </c>
      <c r="E22">
        <v>1269.4876706526707</v>
      </c>
      <c r="F22">
        <v>1736.2001161911921</v>
      </c>
      <c r="G22">
        <v>2217.6335303307237</v>
      </c>
      <c r="H22">
        <v>2550.2516518600128</v>
      </c>
    </row>
    <row r="23" spans="1:8">
      <c r="A23" s="8" t="s">
        <v>22</v>
      </c>
      <c r="B23">
        <v>85.723217658300584</v>
      </c>
      <c r="C23">
        <v>250.62832140465844</v>
      </c>
      <c r="D23">
        <v>592.04640423113472</v>
      </c>
      <c r="E23">
        <v>942.82468908134422</v>
      </c>
      <c r="F23">
        <v>1264.4485840432001</v>
      </c>
      <c r="G23">
        <v>1630.3413683707399</v>
      </c>
      <c r="H23">
        <v>2005.4015880648101</v>
      </c>
    </row>
    <row r="24" spans="1:8">
      <c r="A24" s="8" t="s">
        <v>23</v>
      </c>
      <c r="B24">
        <v>73.30105037357518</v>
      </c>
      <c r="C24">
        <v>243.353927415177</v>
      </c>
      <c r="D24">
        <v>646.03978281409206</v>
      </c>
      <c r="E24">
        <v>1037.2357720510822</v>
      </c>
      <c r="F24">
        <v>1428.4501021907522</v>
      </c>
      <c r="G24">
        <v>1824.2375628328646</v>
      </c>
      <c r="H24">
        <v>2181.3841269950904</v>
      </c>
    </row>
    <row r="25" spans="1:8">
      <c r="A25" s="8" t="s">
        <v>24</v>
      </c>
      <c r="B25">
        <v>87.597546053456497</v>
      </c>
      <c r="C25">
        <v>254.07401340984515</v>
      </c>
      <c r="D25">
        <v>604.46494929284756</v>
      </c>
      <c r="E25">
        <v>985.04507101268337</v>
      </c>
      <c r="F25">
        <v>1355.4320264904284</v>
      </c>
      <c r="G25">
        <v>1718.8367990922068</v>
      </c>
      <c r="H25">
        <v>2074.6665262686915</v>
      </c>
    </row>
    <row r="26" spans="1:8">
      <c r="A26" s="5" t="s">
        <v>25</v>
      </c>
      <c r="B26">
        <v>89.090892422813667</v>
      </c>
      <c r="C26">
        <v>228.43682062643347</v>
      </c>
      <c r="D26">
        <v>586.09048965770251</v>
      </c>
      <c r="E26">
        <v>949.30785908980465</v>
      </c>
      <c r="F26">
        <v>1370.3229658248624</v>
      </c>
      <c r="G26">
        <v>1829.4560857074</v>
      </c>
      <c r="H26">
        <v>2158.75607469123</v>
      </c>
    </row>
    <row r="27" spans="1:8">
      <c r="A27" s="5" t="s">
        <v>34</v>
      </c>
      <c r="B27">
        <v>150.76568313583357</v>
      </c>
      <c r="C27">
        <v>374.37997643150288</v>
      </c>
      <c r="D27">
        <v>765.39168344296672</v>
      </c>
      <c r="E27">
        <v>1146.6354849064901</v>
      </c>
      <c r="F27">
        <v>1685.9692686583694</v>
      </c>
      <c r="G27">
        <v>2205.533444883391</v>
      </c>
      <c r="H27">
        <v>2963.2451806603653</v>
      </c>
    </row>
    <row r="28" spans="1:8">
      <c r="A28" s="5" t="s">
        <v>35</v>
      </c>
      <c r="B28">
        <v>137.19334165215074</v>
      </c>
      <c r="C28">
        <v>314.6611409242588</v>
      </c>
      <c r="D28">
        <v>691.06105348001086</v>
      </c>
      <c r="E28">
        <v>1008.3561681748452</v>
      </c>
      <c r="F28">
        <v>1385.0868101763499</v>
      </c>
      <c r="G28">
        <v>1649.7880839930613</v>
      </c>
      <c r="H28">
        <v>1968.5082757561465</v>
      </c>
    </row>
    <row r="29" spans="1:8">
      <c r="A29" s="5" t="s">
        <v>36</v>
      </c>
      <c r="B29">
        <v>165.19129572494015</v>
      </c>
      <c r="C29">
        <v>404.07387446842512</v>
      </c>
      <c r="D29">
        <v>1196.7346454580086</v>
      </c>
      <c r="E29">
        <v>1673.3384210449021</v>
      </c>
      <c r="F29">
        <v>2178.8704510526095</v>
      </c>
      <c r="G29">
        <v>2670.3290571238595</v>
      </c>
      <c r="H29">
        <v>2983.0961874122595</v>
      </c>
    </row>
    <row r="30" spans="1:8">
      <c r="A30" s="5" t="s">
        <v>37</v>
      </c>
      <c r="B30">
        <v>168.79513087694622</v>
      </c>
      <c r="C30">
        <v>374.09854224778405</v>
      </c>
      <c r="D30">
        <v>1059.5929058623281</v>
      </c>
      <c r="E30">
        <v>1514.6653576358433</v>
      </c>
      <c r="F30">
        <v>2161.9626837644751</v>
      </c>
      <c r="G30">
        <v>2595.5352248453037</v>
      </c>
      <c r="H30">
        <v>3008.198194823261</v>
      </c>
    </row>
    <row r="31" spans="1:8">
      <c r="A31" s="5" t="s">
        <v>38</v>
      </c>
      <c r="B31">
        <v>68.88528518496193</v>
      </c>
      <c r="C31">
        <v>283.72920056163275</v>
      </c>
      <c r="D31">
        <v>623.76413123349482</v>
      </c>
      <c r="E31">
        <v>951.72842962794766</v>
      </c>
      <c r="F31">
        <v>1302.62401793345</v>
      </c>
      <c r="G31">
        <v>1606.1446102942559</v>
      </c>
      <c r="H31">
        <v>1962.31756730292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E746-E348-4A72-993D-542871CF36E3}">
  <dimension ref="A1:D12"/>
  <sheetViews>
    <sheetView workbookViewId="0">
      <selection activeCell="F26" sqref="F26"/>
    </sheetView>
  </sheetViews>
  <sheetFormatPr defaultRowHeight="14.5"/>
  <sheetData>
    <row r="1" spans="1:4">
      <c r="A1" t="s">
        <v>0</v>
      </c>
      <c r="B1" s="2" t="s">
        <v>32</v>
      </c>
      <c r="C1" s="2" t="s">
        <v>33</v>
      </c>
      <c r="D1" s="2" t="s">
        <v>45</v>
      </c>
    </row>
    <row r="2" spans="1:4">
      <c r="A2" s="6" t="s">
        <v>39</v>
      </c>
      <c r="B2" s="4">
        <v>20</v>
      </c>
      <c r="C2" s="4">
        <v>10.1</v>
      </c>
      <c r="D2" s="4">
        <v>19.989999999999998</v>
      </c>
    </row>
    <row r="3" spans="1:4">
      <c r="A3" s="6" t="s">
        <v>40</v>
      </c>
      <c r="B3" s="4">
        <v>20</v>
      </c>
      <c r="C3" s="4">
        <v>10</v>
      </c>
      <c r="D3" s="4">
        <v>15.43</v>
      </c>
    </row>
    <row r="4" spans="1:4">
      <c r="A4" s="6" t="s">
        <v>41</v>
      </c>
      <c r="B4" s="4">
        <v>20</v>
      </c>
      <c r="C4" s="4">
        <v>10.08</v>
      </c>
      <c r="D4" s="4">
        <v>19.97</v>
      </c>
    </row>
    <row r="5" spans="1:4">
      <c r="A5" s="6" t="s">
        <v>42</v>
      </c>
      <c r="B5" s="4">
        <v>20</v>
      </c>
      <c r="C5" s="4">
        <v>10.11</v>
      </c>
      <c r="D5" s="4">
        <v>19.97</v>
      </c>
    </row>
    <row r="6" spans="1:4">
      <c r="A6" s="6" t="s">
        <v>43</v>
      </c>
      <c r="B6" s="4">
        <v>20</v>
      </c>
      <c r="C6" s="4">
        <v>10.15</v>
      </c>
      <c r="D6" s="4">
        <v>19.98</v>
      </c>
    </row>
    <row r="7" spans="1:4">
      <c r="A7" s="6" t="s">
        <v>44</v>
      </c>
      <c r="B7" s="4">
        <v>20</v>
      </c>
      <c r="C7" s="4">
        <v>10.07</v>
      </c>
      <c r="D7" s="4">
        <v>12.53</v>
      </c>
    </row>
    <row r="8" spans="1:4">
      <c r="A8" s="6"/>
      <c r="B8" s="4"/>
      <c r="C8" s="4"/>
      <c r="D8" s="4"/>
    </row>
    <row r="9" spans="1:4">
      <c r="A9" s="6"/>
      <c r="B9" s="4"/>
      <c r="C9" s="4"/>
      <c r="D9" s="4"/>
    </row>
    <row r="10" spans="1:4">
      <c r="A10" s="6"/>
      <c r="B10" s="4"/>
      <c r="C10" s="4"/>
      <c r="D10" s="4"/>
    </row>
    <row r="11" spans="1:4">
      <c r="A11" s="6"/>
      <c r="B11" s="4"/>
      <c r="C11" s="4"/>
      <c r="D11" s="4"/>
    </row>
    <row r="12" spans="1:4">
      <c r="A12" s="6"/>
      <c r="B12" s="4"/>
      <c r="C12" s="4"/>
      <c r="D1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DE24-4CBD-4B0F-9073-CB7A3B6A34AD}">
  <dimension ref="A1:H12"/>
  <sheetViews>
    <sheetView workbookViewId="0">
      <selection activeCell="A2" sqref="A2:H7"/>
    </sheetView>
  </sheetViews>
  <sheetFormatPr defaultRowHeight="14.5"/>
  <sheetData>
    <row r="1" spans="1:8">
      <c r="A1" t="s">
        <v>0</v>
      </c>
      <c r="B1" t="s">
        <v>46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>
      <c r="A2" s="6" t="s">
        <v>39</v>
      </c>
      <c r="B2">
        <v>202.32970756963002</v>
      </c>
      <c r="C2">
        <v>464.5757791687638</v>
      </c>
      <c r="D2">
        <v>1193.3331037644784</v>
      </c>
      <c r="E2">
        <v>1674.2430183382928</v>
      </c>
      <c r="F2">
        <v>2277.6582310310619</v>
      </c>
      <c r="G2">
        <v>2689.3351124118763</v>
      </c>
      <c r="H2">
        <v>3239.8487108096142</v>
      </c>
    </row>
    <row r="3" spans="1:8">
      <c r="A3" s="6" t="s">
        <v>40</v>
      </c>
      <c r="B3">
        <v>181.73856363249791</v>
      </c>
      <c r="C3">
        <v>433.04547686326089</v>
      </c>
      <c r="D3">
        <v>846.69029014771752</v>
      </c>
      <c r="E3">
        <v>1441.0552368710644</v>
      </c>
      <c r="F3">
        <v>2102.4939331401138</v>
      </c>
      <c r="G3">
        <v>2573.9099269324497</v>
      </c>
      <c r="H3">
        <v>3058.4934105145921</v>
      </c>
    </row>
    <row r="4" spans="1:8">
      <c r="A4" s="6" t="s">
        <v>41</v>
      </c>
      <c r="B4">
        <v>187.75208138733211</v>
      </c>
      <c r="C4">
        <v>466.78682562970454</v>
      </c>
      <c r="D4">
        <v>1234.1807989918029</v>
      </c>
      <c r="E4">
        <v>1719.7616757383635</v>
      </c>
      <c r="F4">
        <v>2254.8485892388276</v>
      </c>
      <c r="G4">
        <v>2801.7449591466334</v>
      </c>
      <c r="H4">
        <v>3234.4014361046247</v>
      </c>
    </row>
    <row r="5" spans="1:8">
      <c r="A5" s="6" t="s">
        <v>42</v>
      </c>
      <c r="B5">
        <v>211.54866764945791</v>
      </c>
      <c r="C5">
        <v>474.77114734029874</v>
      </c>
      <c r="D5">
        <v>1052.4906148149266</v>
      </c>
      <c r="E5">
        <v>1482.4754734745536</v>
      </c>
      <c r="F5">
        <v>2066.7666808380959</v>
      </c>
      <c r="G5">
        <v>2606.0242322624358</v>
      </c>
      <c r="H5">
        <v>3305.1355806718707</v>
      </c>
    </row>
    <row r="6" spans="1:8">
      <c r="A6" s="6" t="s">
        <v>43</v>
      </c>
      <c r="B6">
        <v>194.94732666757088</v>
      </c>
      <c r="C6">
        <v>512.46169739113122</v>
      </c>
      <c r="D6">
        <v>1136.3666938877832</v>
      </c>
      <c r="E6">
        <v>1513.7597991937823</v>
      </c>
      <c r="F6">
        <v>2089.5991154406561</v>
      </c>
      <c r="G6">
        <v>2562.0669623483896</v>
      </c>
      <c r="H6">
        <v>3092.0641254534062</v>
      </c>
    </row>
    <row r="7" spans="1:8">
      <c r="A7" s="6" t="s">
        <v>44</v>
      </c>
      <c r="B7">
        <v>142.53719695877999</v>
      </c>
      <c r="C7">
        <v>391.38180281936025</v>
      </c>
      <c r="D7">
        <v>935.78509807829289</v>
      </c>
      <c r="E7">
        <v>1261.1204433825148</v>
      </c>
      <c r="F7">
        <v>1739.2963202189189</v>
      </c>
      <c r="G7">
        <v>2401.110692476092</v>
      </c>
      <c r="H7">
        <v>2871.5621428769723</v>
      </c>
    </row>
    <row r="8" spans="1:8">
      <c r="A8" s="6"/>
    </row>
    <row r="9" spans="1:8">
      <c r="A9" s="6"/>
    </row>
    <row r="10" spans="1:8">
      <c r="A10" s="6"/>
    </row>
    <row r="11" spans="1:8">
      <c r="A11" s="6"/>
    </row>
    <row r="12" spans="1:8">
      <c r="A12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CB54-D048-42FF-92E5-9A41DB7DA163}">
  <dimension ref="A1:H12"/>
  <sheetViews>
    <sheetView workbookViewId="0">
      <selection activeCell="A7" sqref="A7:H12"/>
    </sheetView>
  </sheetViews>
  <sheetFormatPr defaultRowHeight="14.5"/>
  <sheetData>
    <row r="1" spans="1:8">
      <c r="A1" t="s">
        <v>0</v>
      </c>
      <c r="B1" t="s">
        <v>46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>
      <c r="A2" s="5" t="s">
        <v>34</v>
      </c>
      <c r="B2">
        <v>150.76568313583357</v>
      </c>
      <c r="C2">
        <v>374.37997643150288</v>
      </c>
      <c r="D2">
        <v>765.39168344296672</v>
      </c>
      <c r="E2">
        <v>1146.6354849064901</v>
      </c>
      <c r="F2">
        <v>1685.9692686583694</v>
      </c>
      <c r="G2">
        <v>2205.533444883391</v>
      </c>
      <c r="H2">
        <v>2963.2451806603653</v>
      </c>
    </row>
    <row r="3" spans="1:8">
      <c r="A3" s="5" t="s">
        <v>35</v>
      </c>
      <c r="B3">
        <v>137.19334165215074</v>
      </c>
      <c r="C3">
        <v>314.6611409242588</v>
      </c>
      <c r="D3">
        <v>691.06105348001086</v>
      </c>
      <c r="E3">
        <v>1008.3561681748452</v>
      </c>
      <c r="F3">
        <v>1385.0868101763499</v>
      </c>
      <c r="G3">
        <v>1649.7880839930613</v>
      </c>
      <c r="H3">
        <v>1968.5082757561465</v>
      </c>
    </row>
    <row r="4" spans="1:8">
      <c r="A4" s="5" t="s">
        <v>36</v>
      </c>
      <c r="B4">
        <v>165.19129572494015</v>
      </c>
      <c r="C4">
        <v>404.07387446842512</v>
      </c>
      <c r="D4">
        <v>1196.7346454580086</v>
      </c>
      <c r="E4">
        <v>1673.3384210449021</v>
      </c>
      <c r="F4">
        <v>2178.8704510526095</v>
      </c>
      <c r="G4">
        <v>2670.3290571238595</v>
      </c>
      <c r="H4">
        <v>2983.0961874122595</v>
      </c>
    </row>
    <row r="5" spans="1:8">
      <c r="A5" s="5" t="s">
        <v>37</v>
      </c>
      <c r="B5">
        <v>168.79513087694622</v>
      </c>
      <c r="C5">
        <v>374.09854224778405</v>
      </c>
      <c r="D5">
        <v>1059.5929058623281</v>
      </c>
      <c r="E5">
        <v>1514.6653576358433</v>
      </c>
      <c r="F5">
        <v>2161.9626837644751</v>
      </c>
      <c r="G5">
        <v>2595.5352248453037</v>
      </c>
      <c r="H5">
        <v>3008.198194823261</v>
      </c>
    </row>
    <row r="6" spans="1:8">
      <c r="A6" s="5" t="s">
        <v>38</v>
      </c>
      <c r="B6">
        <v>68.88528518496193</v>
      </c>
      <c r="C6">
        <v>283.72920056163275</v>
      </c>
      <c r="D6">
        <v>623.76413123349482</v>
      </c>
      <c r="E6">
        <v>951.72842962794766</v>
      </c>
      <c r="F6">
        <v>1302.62401793345</v>
      </c>
      <c r="G6">
        <v>1606.1446102942559</v>
      </c>
      <c r="H6">
        <v>1962.31756730292</v>
      </c>
    </row>
    <row r="7" spans="1:8">
      <c r="A7" s="6" t="s">
        <v>39</v>
      </c>
      <c r="B7">
        <v>202.32970756963002</v>
      </c>
      <c r="C7">
        <v>464.5757791687638</v>
      </c>
      <c r="D7">
        <v>1193.3331037644784</v>
      </c>
      <c r="E7">
        <v>1674.2430183382928</v>
      </c>
      <c r="F7">
        <v>2277.6582310310619</v>
      </c>
      <c r="G7">
        <v>2689.3351124118763</v>
      </c>
      <c r="H7">
        <v>3239.8487108096142</v>
      </c>
    </row>
    <row r="8" spans="1:8">
      <c r="A8" s="6" t="s">
        <v>40</v>
      </c>
      <c r="B8">
        <v>181.73856363249791</v>
      </c>
      <c r="C8">
        <v>433.04547686326089</v>
      </c>
      <c r="D8">
        <v>846.69029014771752</v>
      </c>
      <c r="E8">
        <v>1441.0552368710644</v>
      </c>
      <c r="F8">
        <v>2102.4939331401138</v>
      </c>
      <c r="G8">
        <v>2573.9099269324497</v>
      </c>
      <c r="H8">
        <v>3058.4934105145921</v>
      </c>
    </row>
    <row r="9" spans="1:8">
      <c r="A9" s="6" t="s">
        <v>41</v>
      </c>
      <c r="B9">
        <v>187.75208138733211</v>
      </c>
      <c r="C9">
        <v>466.78682562970454</v>
      </c>
      <c r="D9">
        <v>1234.1807989918029</v>
      </c>
      <c r="E9">
        <v>1719.7616757383635</v>
      </c>
      <c r="F9">
        <v>2254.8485892388276</v>
      </c>
      <c r="G9">
        <v>2801.7449591466334</v>
      </c>
      <c r="H9">
        <v>3234.4014361046247</v>
      </c>
    </row>
    <row r="10" spans="1:8">
      <c r="A10" s="6" t="s">
        <v>42</v>
      </c>
      <c r="B10">
        <v>211.54866764945791</v>
      </c>
      <c r="C10">
        <v>474.77114734029874</v>
      </c>
      <c r="D10">
        <v>1052.4906148149266</v>
      </c>
      <c r="E10">
        <v>1482.4754734745536</v>
      </c>
      <c r="F10">
        <v>2066.7666808380959</v>
      </c>
      <c r="G10">
        <v>2606.0242322624358</v>
      </c>
      <c r="H10">
        <v>3305.1355806718707</v>
      </c>
    </row>
    <row r="11" spans="1:8">
      <c r="A11" s="6" t="s">
        <v>43</v>
      </c>
      <c r="B11">
        <v>194.94732666757088</v>
      </c>
      <c r="C11">
        <v>512.46169739113122</v>
      </c>
      <c r="D11">
        <v>1136.3666938877832</v>
      </c>
      <c r="E11">
        <v>1513.7597991937823</v>
      </c>
      <c r="F11">
        <v>2089.5991154406561</v>
      </c>
      <c r="G11">
        <v>2562.0669623483896</v>
      </c>
      <c r="H11">
        <v>3092.0641254534062</v>
      </c>
    </row>
    <row r="12" spans="1:8">
      <c r="A12" s="6" t="s">
        <v>44</v>
      </c>
      <c r="B12">
        <v>142.53719695877999</v>
      </c>
      <c r="C12">
        <v>391.38180281936025</v>
      </c>
      <c r="D12">
        <v>935.78509807829289</v>
      </c>
      <c r="E12">
        <v>1261.1204433825148</v>
      </c>
      <c r="F12">
        <v>1739.2963202189189</v>
      </c>
      <c r="G12">
        <v>2401.110692476092</v>
      </c>
      <c r="H12">
        <v>2871.5621428769723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D322-BC7B-4701-A51E-7209D03A7E9B}">
  <dimension ref="A1:D6"/>
  <sheetViews>
    <sheetView workbookViewId="0">
      <selection activeCell="F46" sqref="F46"/>
    </sheetView>
  </sheetViews>
  <sheetFormatPr defaultRowHeight="14.5"/>
  <sheetData>
    <row r="1" spans="1:4">
      <c r="A1" t="s">
        <v>0</v>
      </c>
      <c r="B1" s="2" t="s">
        <v>32</v>
      </c>
      <c r="C1" s="2" t="s">
        <v>33</v>
      </c>
      <c r="D1" s="2" t="s">
        <v>45</v>
      </c>
    </row>
    <row r="2" spans="1:4">
      <c r="A2" s="5" t="s">
        <v>34</v>
      </c>
      <c r="B2" s="4">
        <v>20</v>
      </c>
      <c r="C2" s="4">
        <v>19.989999999999998</v>
      </c>
      <c r="D2" s="4">
        <v>19.989999999999998</v>
      </c>
    </row>
    <row r="3" spans="1:4">
      <c r="A3" s="5" t="s">
        <v>35</v>
      </c>
      <c r="B3" s="4">
        <v>29.78</v>
      </c>
      <c r="C3" s="4">
        <v>19.95</v>
      </c>
      <c r="D3" s="4">
        <v>19.93</v>
      </c>
    </row>
    <row r="4" spans="1:4">
      <c r="A4" s="5" t="s">
        <v>36</v>
      </c>
      <c r="B4" s="4">
        <v>20</v>
      </c>
      <c r="C4" s="4">
        <v>13.65</v>
      </c>
      <c r="D4" s="4">
        <v>19.97</v>
      </c>
    </row>
    <row r="5" spans="1:4">
      <c r="A5" s="5" t="s">
        <v>37</v>
      </c>
      <c r="B5" s="4">
        <v>20</v>
      </c>
      <c r="C5" s="4">
        <v>11.5</v>
      </c>
      <c r="D5" s="4">
        <v>19.98</v>
      </c>
    </row>
    <row r="6" spans="1:4">
      <c r="A6" s="5" t="s">
        <v>38</v>
      </c>
      <c r="B6" s="4">
        <v>28.44</v>
      </c>
      <c r="C6" s="4">
        <v>19.95</v>
      </c>
      <c r="D6" s="4">
        <v>10.7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7D5F-6F19-4471-922F-70A0D4102445}">
  <dimension ref="A1:H11"/>
  <sheetViews>
    <sheetView workbookViewId="0">
      <selection activeCell="M25" sqref="M25"/>
    </sheetView>
  </sheetViews>
  <sheetFormatPr defaultRowHeight="14.5"/>
  <cols>
    <col min="1" max="1" width="10.08984375" customWidth="1"/>
  </cols>
  <sheetData>
    <row r="1" spans="1:8">
      <c r="A1" t="s">
        <v>0</v>
      </c>
      <c r="B1" t="s">
        <v>46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>
      <c r="A2" s="5" t="s">
        <v>34</v>
      </c>
      <c r="B2">
        <v>150.76568313583357</v>
      </c>
      <c r="C2">
        <v>374.37997643150288</v>
      </c>
      <c r="D2">
        <v>765.39168344296672</v>
      </c>
      <c r="E2">
        <v>1146.6354849064901</v>
      </c>
      <c r="F2">
        <v>1685.9692686583694</v>
      </c>
      <c r="G2">
        <v>2205.533444883391</v>
      </c>
      <c r="H2">
        <v>2963.2451806603653</v>
      </c>
    </row>
    <row r="3" spans="1:8">
      <c r="A3" s="8" t="s">
        <v>47</v>
      </c>
      <c r="B3" s="7">
        <v>22.511541639215373</v>
      </c>
      <c r="C3" s="7">
        <v>59.169587199893719</v>
      </c>
      <c r="D3" s="7">
        <v>79.983778339688556</v>
      </c>
      <c r="E3" s="7">
        <v>67.315843385567149</v>
      </c>
      <c r="F3" s="7">
        <v>41.906484133658708</v>
      </c>
      <c r="G3" s="7">
        <v>378.96661349060139</v>
      </c>
      <c r="H3" s="7">
        <v>283.3964309682313</v>
      </c>
    </row>
    <row r="4" spans="1:8">
      <c r="A4" s="5" t="s">
        <v>35</v>
      </c>
      <c r="B4">
        <v>137.19334165215074</v>
      </c>
      <c r="C4">
        <v>314.6611409242588</v>
      </c>
      <c r="D4">
        <v>691.06105348001086</v>
      </c>
      <c r="E4">
        <v>1008.3561681748452</v>
      </c>
      <c r="F4">
        <v>1385.0868101763499</v>
      </c>
      <c r="G4">
        <v>1649.7880839930613</v>
      </c>
      <c r="H4">
        <v>1968.5082757561465</v>
      </c>
    </row>
    <row r="5" spans="1:8">
      <c r="A5" s="8" t="s">
        <v>48</v>
      </c>
      <c r="B5">
        <v>13.669140738403444</v>
      </c>
      <c r="C5">
        <v>27.070256966287822</v>
      </c>
      <c r="D5">
        <v>60.138473416352333</v>
      </c>
      <c r="E5">
        <v>73.569358395101517</v>
      </c>
      <c r="F5">
        <v>155.35709927604967</v>
      </c>
      <c r="G5">
        <v>116.57696603461089</v>
      </c>
      <c r="H5">
        <v>151.23869655010586</v>
      </c>
    </row>
    <row r="6" spans="1:8">
      <c r="A6" s="5" t="s">
        <v>36</v>
      </c>
      <c r="B6">
        <v>165.19129572494015</v>
      </c>
      <c r="C6">
        <v>404.07387446842512</v>
      </c>
      <c r="D6">
        <v>1196.7346454580086</v>
      </c>
      <c r="E6">
        <v>1673.3384210449021</v>
      </c>
      <c r="F6">
        <v>2178.8704510526095</v>
      </c>
      <c r="G6">
        <v>2670.3290571238595</v>
      </c>
      <c r="H6">
        <v>2983.0961874122595</v>
      </c>
    </row>
    <row r="7" spans="1:8">
      <c r="A7" s="8" t="s">
        <v>49</v>
      </c>
      <c r="B7">
        <v>21.431597174830955</v>
      </c>
      <c r="C7">
        <v>64.008891922470269</v>
      </c>
      <c r="D7">
        <v>115.9443720259812</v>
      </c>
      <c r="E7">
        <v>172.58171583807106</v>
      </c>
      <c r="F7">
        <v>128.29555186752947</v>
      </c>
      <c r="G7">
        <v>67.014983228623677</v>
      </c>
      <c r="H7">
        <v>290.22797205215511</v>
      </c>
    </row>
    <row r="8" spans="1:8">
      <c r="A8" s="5" t="s">
        <v>37</v>
      </c>
      <c r="B8">
        <v>168.79513087694622</v>
      </c>
      <c r="C8">
        <v>374.09854224778405</v>
      </c>
      <c r="D8">
        <v>1059.5929058623281</v>
      </c>
      <c r="E8">
        <v>1514.6653576358433</v>
      </c>
      <c r="F8">
        <v>2161.9626837644751</v>
      </c>
      <c r="G8">
        <v>2595.5352248453037</v>
      </c>
      <c r="H8">
        <v>3008.198194823261</v>
      </c>
    </row>
    <row r="9" spans="1:8">
      <c r="A9" s="8" t="s">
        <v>50</v>
      </c>
      <c r="B9">
        <v>21.417051362630701</v>
      </c>
      <c r="C9">
        <v>52.316969443176184</v>
      </c>
      <c r="D9">
        <v>310.7752379649134</v>
      </c>
      <c r="E9">
        <v>275.53340453864797</v>
      </c>
      <c r="F9">
        <v>200.20890427109944</v>
      </c>
      <c r="G9">
        <v>186.69589139438801</v>
      </c>
      <c r="H9">
        <v>157.69126971458809</v>
      </c>
    </row>
    <row r="10" spans="1:8">
      <c r="A10" s="5" t="s">
        <v>38</v>
      </c>
      <c r="B10">
        <v>68.88528518496193</v>
      </c>
      <c r="C10">
        <v>283.72920056163275</v>
      </c>
      <c r="D10">
        <v>623.76413123349482</v>
      </c>
      <c r="E10">
        <v>951.72842962794766</v>
      </c>
      <c r="F10">
        <v>1302.62401793345</v>
      </c>
      <c r="G10">
        <v>1606.1446102942559</v>
      </c>
      <c r="H10">
        <v>1962.31756730292</v>
      </c>
    </row>
    <row r="11" spans="1:8">
      <c r="A11" s="8" t="s">
        <v>51</v>
      </c>
      <c r="B11">
        <v>25.707944537071597</v>
      </c>
      <c r="C11">
        <v>61.963278379142146</v>
      </c>
      <c r="D11">
        <v>19.987895657328792</v>
      </c>
      <c r="E11">
        <v>28.656061905662877</v>
      </c>
      <c r="F11">
        <v>45.896237266036465</v>
      </c>
      <c r="G11">
        <v>68.243364924122631</v>
      </c>
      <c r="H11">
        <v>135.77968526149223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58A5-66AA-4C5C-A93D-C154F19A4511}">
  <dimension ref="A1:D7"/>
  <sheetViews>
    <sheetView workbookViewId="0">
      <selection activeCell="A2" sqref="A2:D7"/>
    </sheetView>
  </sheetViews>
  <sheetFormatPr defaultRowHeight="14.5"/>
  <sheetData>
    <row r="1" spans="1:4">
      <c r="A1" t="s">
        <v>0</v>
      </c>
      <c r="B1" s="2" t="s">
        <v>32</v>
      </c>
      <c r="C1" s="2" t="s">
        <v>33</v>
      </c>
      <c r="D1" s="2" t="s">
        <v>45</v>
      </c>
    </row>
    <row r="2" spans="1:4">
      <c r="A2" s="6" t="s">
        <v>39</v>
      </c>
      <c r="B2" s="4">
        <v>20</v>
      </c>
      <c r="C2" s="4">
        <v>10.1</v>
      </c>
      <c r="D2" s="4">
        <v>19.989999999999998</v>
      </c>
    </row>
    <row r="3" spans="1:4">
      <c r="A3" s="6" t="s">
        <v>40</v>
      </c>
      <c r="B3" s="4">
        <v>20</v>
      </c>
      <c r="C3" s="4">
        <v>10</v>
      </c>
      <c r="D3" s="4">
        <v>15.43</v>
      </c>
    </row>
    <row r="4" spans="1:4">
      <c r="A4" s="6" t="s">
        <v>41</v>
      </c>
      <c r="B4" s="4">
        <v>20</v>
      </c>
      <c r="C4" s="4">
        <v>10.08</v>
      </c>
      <c r="D4" s="4">
        <v>19.97</v>
      </c>
    </row>
    <row r="5" spans="1:4">
      <c r="A5" s="6" t="s">
        <v>42</v>
      </c>
      <c r="B5" s="4">
        <v>20</v>
      </c>
      <c r="C5" s="4">
        <v>10.11</v>
      </c>
      <c r="D5" s="4">
        <v>19.97</v>
      </c>
    </row>
    <row r="6" spans="1:4">
      <c r="A6" s="6" t="s">
        <v>43</v>
      </c>
      <c r="B6" s="4">
        <v>20</v>
      </c>
      <c r="C6" s="4">
        <v>10.15</v>
      </c>
      <c r="D6" s="4">
        <v>19.98</v>
      </c>
    </row>
    <row r="7" spans="1:4">
      <c r="A7" s="6" t="s">
        <v>44</v>
      </c>
      <c r="B7" s="4">
        <v>20</v>
      </c>
      <c r="C7" s="4">
        <v>10.07</v>
      </c>
      <c r="D7" s="4">
        <v>12.53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7A3C-7CAF-47C9-8B93-041507CD288D}">
  <dimension ref="A1:H13"/>
  <sheetViews>
    <sheetView workbookViewId="0">
      <selection activeCell="R25" sqref="R25"/>
    </sheetView>
  </sheetViews>
  <sheetFormatPr defaultRowHeight="14.5"/>
  <cols>
    <col min="1" max="1" width="11.36328125" customWidth="1"/>
  </cols>
  <sheetData>
    <row r="1" spans="1:8">
      <c r="A1" t="s">
        <v>0</v>
      </c>
      <c r="B1" t="s">
        <v>46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ht="13.5" customHeight="1">
      <c r="A2" s="6" t="s">
        <v>39</v>
      </c>
      <c r="B2">
        <v>202.32970756963002</v>
      </c>
      <c r="C2">
        <v>464.5757791687638</v>
      </c>
      <c r="D2">
        <v>1193.3331037644784</v>
      </c>
      <c r="E2">
        <v>1674.2430183382928</v>
      </c>
      <c r="F2">
        <v>2277.6582310310619</v>
      </c>
      <c r="G2">
        <v>2689.3351124118763</v>
      </c>
      <c r="H2">
        <v>3239.8487108096142</v>
      </c>
    </row>
    <row r="3" spans="1:8" ht="13.5" customHeight="1">
      <c r="A3" s="8" t="s">
        <v>52</v>
      </c>
      <c r="B3">
        <v>33.268293660194935</v>
      </c>
      <c r="C3">
        <v>35.495543310250184</v>
      </c>
      <c r="D3">
        <v>299.40204928108636</v>
      </c>
      <c r="E3">
        <v>222.00377394854274</v>
      </c>
      <c r="F3">
        <v>178.2252296131708</v>
      </c>
      <c r="G3">
        <v>171.1633226808448</v>
      </c>
      <c r="H3">
        <v>170.93858066184706</v>
      </c>
    </row>
    <row r="4" spans="1:8">
      <c r="A4" s="6" t="s">
        <v>40</v>
      </c>
      <c r="B4">
        <v>181.73856363249791</v>
      </c>
      <c r="C4">
        <v>433.04547686326089</v>
      </c>
      <c r="D4">
        <v>846.69029014771752</v>
      </c>
      <c r="E4">
        <v>1441.0552368710644</v>
      </c>
      <c r="F4">
        <v>2102.4939331401138</v>
      </c>
      <c r="G4">
        <v>2573.9099269324497</v>
      </c>
      <c r="H4">
        <v>3058.4934105145921</v>
      </c>
    </row>
    <row r="5" spans="1:8">
      <c r="A5" s="8" t="s">
        <v>53</v>
      </c>
      <c r="B5">
        <v>46.958273756137494</v>
      </c>
      <c r="C5">
        <v>66.813998775198783</v>
      </c>
      <c r="D5">
        <v>131.86486119105874</v>
      </c>
      <c r="E5">
        <v>284.69185846219847</v>
      </c>
      <c r="F5">
        <v>376.85376272365488</v>
      </c>
      <c r="G5">
        <v>396.73101621272508</v>
      </c>
      <c r="H5">
        <v>394.79493492666512</v>
      </c>
    </row>
    <row r="6" spans="1:8">
      <c r="A6" s="6" t="s">
        <v>41</v>
      </c>
      <c r="B6">
        <v>187.75208138733211</v>
      </c>
      <c r="C6">
        <v>466.78682562970454</v>
      </c>
      <c r="D6">
        <v>1234.1807989918029</v>
      </c>
      <c r="E6">
        <v>1719.7616757383635</v>
      </c>
      <c r="F6">
        <v>2254.8485892388276</v>
      </c>
      <c r="G6">
        <v>2801.7449591466334</v>
      </c>
      <c r="H6">
        <v>3234.4014361046247</v>
      </c>
    </row>
    <row r="7" spans="1:8">
      <c r="A7" s="8" t="s">
        <v>54</v>
      </c>
      <c r="B7">
        <v>36.683550560961365</v>
      </c>
      <c r="C7">
        <v>27.040898273827601</v>
      </c>
      <c r="D7">
        <v>226.4581695570651</v>
      </c>
      <c r="E7">
        <v>176.39774379846233</v>
      </c>
      <c r="F7">
        <v>110.39523756836513</v>
      </c>
      <c r="G7">
        <v>79.022035674954211</v>
      </c>
      <c r="H7">
        <v>204.77084547870774</v>
      </c>
    </row>
    <row r="8" spans="1:8">
      <c r="A8" s="6" t="s">
        <v>42</v>
      </c>
      <c r="B8">
        <v>211.54866764945791</v>
      </c>
      <c r="C8">
        <v>474.77114734029874</v>
      </c>
      <c r="D8">
        <v>1052.4906148149266</v>
      </c>
      <c r="E8">
        <v>1482.4754734745536</v>
      </c>
      <c r="F8">
        <v>2066.7666808380959</v>
      </c>
      <c r="G8">
        <v>2606.0242322624358</v>
      </c>
      <c r="H8">
        <v>3305.1355806718707</v>
      </c>
    </row>
    <row r="9" spans="1:8">
      <c r="A9" s="8" t="s">
        <v>55</v>
      </c>
      <c r="B9">
        <v>36.764655463417711</v>
      </c>
      <c r="C9">
        <v>76.251972865095183</v>
      </c>
      <c r="D9">
        <v>155.85252283035865</v>
      </c>
      <c r="E9">
        <v>188.68684436892198</v>
      </c>
      <c r="F9">
        <v>179.31310681632272</v>
      </c>
      <c r="G9">
        <v>215.62376117578344</v>
      </c>
      <c r="H9">
        <v>116.6778098235575</v>
      </c>
    </row>
    <row r="10" spans="1:8">
      <c r="A10" s="6" t="s">
        <v>43</v>
      </c>
      <c r="B10">
        <v>194.94732666757088</v>
      </c>
      <c r="C10">
        <v>512.46169739113122</v>
      </c>
      <c r="D10">
        <v>1136.3666938877832</v>
      </c>
      <c r="E10">
        <v>1513.7597991937823</v>
      </c>
      <c r="F10">
        <v>2089.5991154406561</v>
      </c>
      <c r="G10">
        <v>2562.0669623483896</v>
      </c>
      <c r="H10">
        <v>3092.0641254534062</v>
      </c>
    </row>
    <row r="11" spans="1:8">
      <c r="A11" s="8" t="s">
        <v>56</v>
      </c>
      <c r="B11">
        <v>29.601653105368261</v>
      </c>
      <c r="C11">
        <v>57.014540604683667</v>
      </c>
      <c r="D11">
        <v>129.95419440784733</v>
      </c>
      <c r="E11">
        <v>205.51015522520896</v>
      </c>
      <c r="F11">
        <v>164.51761549590813</v>
      </c>
      <c r="G11">
        <v>224.0646489930767</v>
      </c>
      <c r="H11">
        <v>231.21035989365663</v>
      </c>
    </row>
    <row r="12" spans="1:8">
      <c r="A12" s="6" t="s">
        <v>44</v>
      </c>
      <c r="B12">
        <v>142.53719695877999</v>
      </c>
      <c r="C12">
        <v>391.38180281936025</v>
      </c>
      <c r="D12">
        <v>935.78509807829289</v>
      </c>
      <c r="E12">
        <v>1261.1204433825148</v>
      </c>
      <c r="F12">
        <v>1739.2963202189189</v>
      </c>
      <c r="G12">
        <v>2401.110692476092</v>
      </c>
      <c r="H12">
        <v>2871.5621428769723</v>
      </c>
    </row>
    <row r="13" spans="1:8">
      <c r="A13" s="8" t="s">
        <v>57</v>
      </c>
      <c r="B13">
        <v>22.054319760776142</v>
      </c>
      <c r="C13">
        <v>36.811643775233605</v>
      </c>
      <c r="D13">
        <v>140.97475030349307</v>
      </c>
      <c r="E13">
        <v>119.36063775559991</v>
      </c>
      <c r="F13">
        <v>84.448083086167301</v>
      </c>
      <c r="G13">
        <v>201.06076656063772</v>
      </c>
      <c r="H13">
        <v>221.73723949145926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Formulas-train</vt:lpstr>
      <vt:lpstr>Release-train</vt:lpstr>
      <vt:lpstr>Formulas-test</vt:lpstr>
      <vt:lpstr>Release-test</vt:lpstr>
      <vt:lpstr>Release-opt</vt:lpstr>
      <vt:lpstr>Formulas-test-opt1</vt:lpstr>
      <vt:lpstr>Release-test-opt1</vt:lpstr>
      <vt:lpstr>Formulas-test-opt2</vt:lpstr>
      <vt:lpstr>Release-test-opt2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Yu (PG/R - Chemistry &amp; Chem Eng)</dc:creator>
  <cp:lastModifiedBy>Zhang, Yu (PG/R - Chemistry &amp; Chem Eng)</cp:lastModifiedBy>
  <dcterms:created xsi:type="dcterms:W3CDTF">2015-06-05T18:17:20Z</dcterms:created>
  <dcterms:modified xsi:type="dcterms:W3CDTF">2025-11-16T20:01:12Z</dcterms:modified>
</cp:coreProperties>
</file>